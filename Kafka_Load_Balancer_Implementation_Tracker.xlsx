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ajeev/Desktop/"/>
    </mc:Choice>
  </mc:AlternateContent>
  <xr:revisionPtr revIDLastSave="0" documentId="8_{CE71B9ED-A524-2F4A-9B01-14390A761FB2}" xr6:coauthVersionLast="47" xr6:coauthVersionMax="47" xr10:uidLastSave="{00000000-0000-0000-0000-000000000000}"/>
  <bookViews>
    <workbookView xWindow="4920" yWindow="620" windowWidth="31120" windowHeight="21180" xr2:uid="{00000000-000D-0000-FFFF-FFFF00000000}"/>
  </bookViews>
  <sheets>
    <sheet name="Dashboard" sheetId="1" r:id="rId1"/>
    <sheet name="Cluster Tracker" sheetId="2" r:id="rId2"/>
    <sheet name="List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5" i="2" l="1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H7" i="1" s="1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H6" i="1" s="1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H5" i="1" s="1"/>
  <c r="H8" i="1" s="1"/>
  <c r="U7" i="2"/>
  <c r="U6" i="2"/>
  <c r="B9" i="1" s="1"/>
  <c r="U5" i="2"/>
  <c r="B20" i="1"/>
  <c r="C20" i="1" s="1"/>
  <c r="B19" i="1"/>
  <c r="C19" i="1" s="1"/>
  <c r="H18" i="1"/>
  <c r="G18" i="1"/>
  <c r="F18" i="1"/>
  <c r="B18" i="1"/>
  <c r="C18" i="1" s="1"/>
  <c r="H17" i="1"/>
  <c r="G17" i="1"/>
  <c r="F17" i="1"/>
  <c r="C17" i="1"/>
  <c r="B17" i="1"/>
  <c r="H16" i="1"/>
  <c r="G16" i="1"/>
  <c r="F16" i="1"/>
  <c r="B16" i="1"/>
  <c r="H15" i="1"/>
  <c r="G15" i="1"/>
  <c r="F15" i="1"/>
  <c r="B15" i="1"/>
  <c r="H14" i="1"/>
  <c r="G14" i="1"/>
  <c r="F14" i="1"/>
  <c r="B14" i="1"/>
  <c r="C14" i="1" s="1"/>
  <c r="H13" i="1"/>
  <c r="G13" i="1"/>
  <c r="F13" i="1"/>
  <c r="B13" i="1"/>
  <c r="B8" i="1"/>
  <c r="I7" i="1"/>
  <c r="G7" i="1"/>
  <c r="F7" i="1"/>
  <c r="F8" i="1" s="1"/>
  <c r="E7" i="1"/>
  <c r="B7" i="1"/>
  <c r="I6" i="1"/>
  <c r="G6" i="1"/>
  <c r="F6" i="1"/>
  <c r="E6" i="1"/>
  <c r="B6" i="1"/>
  <c r="I5" i="1"/>
  <c r="I8" i="1" s="1"/>
  <c r="G5" i="1"/>
  <c r="G8" i="1" s="1"/>
  <c r="F5" i="1"/>
  <c r="E5" i="1"/>
  <c r="E8" i="1" s="1"/>
  <c r="B5" i="1"/>
  <c r="C13" i="1" s="1"/>
  <c r="C15" i="1" l="1"/>
  <c r="C16" i="1"/>
</calcChain>
</file>

<file path=xl/sharedStrings.xml><?xml version="1.0" encoding="utf-8"?>
<sst xmlns="http://schemas.openxmlformats.org/spreadsheetml/2006/main" count="880" uniqueCount="168">
  <si>
    <t>Executive rollup for PROD, PT, and UAT load balancer implementation across 51 Kafka clusters.</t>
  </si>
  <si>
    <t>Metric</t>
  </si>
  <si>
    <t>Value</t>
  </si>
  <si>
    <t>Environment</t>
  </si>
  <si>
    <t>Clusters</t>
  </si>
  <si>
    <t>Completed</t>
  </si>
  <si>
    <t>Blocked</t>
  </si>
  <si>
    <t>Avg Complete</t>
  </si>
  <si>
    <t>MRC Clusters</t>
  </si>
  <si>
    <t>Total Clusters</t>
  </si>
  <si>
    <t>PROD</t>
  </si>
  <si>
    <t>PT</t>
  </si>
  <si>
    <t>In Progress</t>
  </si>
  <si>
    <t>UAT</t>
  </si>
  <si>
    <t>Total</t>
  </si>
  <si>
    <t>Overall Complete</t>
  </si>
  <si>
    <t>Status</t>
  </si>
  <si>
    <t>Count</t>
  </si>
  <si>
    <t>Share</t>
  </si>
  <si>
    <t>Next Action Queue</t>
  </si>
  <si>
    <t>Cluster</t>
  </si>
  <si>
    <t>Next Thing To Do</t>
  </si>
  <si>
    <t>Not Started</t>
  </si>
  <si>
    <t>Planned</t>
  </si>
  <si>
    <t>IP Reserved</t>
  </si>
  <si>
    <t>DNS Created</t>
  </si>
  <si>
    <t>LB Configured</t>
  </si>
  <si>
    <t>Validation</t>
  </si>
  <si>
    <t>Track cluster load balancer IP/DNS, MRC VAP/WIP details, build milestones, current status, percent complete, and next action.</t>
  </si>
  <si>
    <t>Cluster Name</t>
  </si>
  <si>
    <t>Cluster Type</t>
  </si>
  <si>
    <t>Service</t>
  </si>
  <si>
    <t>LB IP Address</t>
  </si>
  <si>
    <t>LB DNS Name</t>
  </si>
  <si>
    <t>VAP Name</t>
  </si>
  <si>
    <t>VAP IP Address</t>
  </si>
  <si>
    <t>VAP DNS Name</t>
  </si>
  <si>
    <t>WIP 1 Name</t>
  </si>
  <si>
    <t>WIP 1 IP Address</t>
  </si>
  <si>
    <t>WIP 1 DNS Name</t>
  </si>
  <si>
    <t>WIP 2 Name</t>
  </si>
  <si>
    <t>WIP 2 IP Address</t>
  </si>
  <si>
    <t>WIP 2 DNS Name</t>
  </si>
  <si>
    <t>Health Check Passed</t>
  </si>
  <si>
    <t>Cutover Validated</t>
  </si>
  <si>
    <t>Progress %</t>
  </si>
  <si>
    <t>Owner</t>
  </si>
  <si>
    <t>Target Date</t>
  </si>
  <si>
    <t>Comments</t>
  </si>
  <si>
    <t>prod-kafka-01</t>
  </si>
  <si>
    <t>Normal</t>
  </si>
  <si>
    <t>Kafka Bootstrap</t>
  </si>
  <si>
    <t>N/A</t>
  </si>
  <si>
    <t>No</t>
  </si>
  <si>
    <t>Confirm LB IP allocation and DNS naming standard</t>
  </si>
  <si>
    <t>prod-kafka-02</t>
  </si>
  <si>
    <t>Kafka Broker</t>
  </si>
  <si>
    <t>prod-kafka-03</t>
  </si>
  <si>
    <t>Schema Registry</t>
  </si>
  <si>
    <t>prod-kafka-04</t>
  </si>
  <si>
    <t>MRC</t>
  </si>
  <si>
    <t>Kafka Connect</t>
  </si>
  <si>
    <t>prod-vap-04</t>
  </si>
  <si>
    <t>prod-wip-a-04</t>
  </si>
  <si>
    <t>prod-wip-b-04</t>
  </si>
  <si>
    <t>prod-kafka-05</t>
  </si>
  <si>
    <t>KSQL</t>
  </si>
  <si>
    <t>prod-kafka-06</t>
  </si>
  <si>
    <t>MirrorMaker</t>
  </si>
  <si>
    <t>prod-kafka-07</t>
  </si>
  <si>
    <t>Admin/API</t>
  </si>
  <si>
    <t>prod-vap-07</t>
  </si>
  <si>
    <t>prod-wip-a-07</t>
  </si>
  <si>
    <t>prod-wip-b-07</t>
  </si>
  <si>
    <t>prod-kafka-08</t>
  </si>
  <si>
    <t>prod-vap-08</t>
  </si>
  <si>
    <t>prod-wip-a-08</t>
  </si>
  <si>
    <t>prod-wip-b-08</t>
  </si>
  <si>
    <t>prod-kafka-09</t>
  </si>
  <si>
    <t>prod-kafka-10</t>
  </si>
  <si>
    <t>prod-kafka-11</t>
  </si>
  <si>
    <t>prod-kafka-12</t>
  </si>
  <si>
    <t>prod-vap-12</t>
  </si>
  <si>
    <t>prod-wip-a-12</t>
  </si>
  <si>
    <t>prod-wip-b-12</t>
  </si>
  <si>
    <t>prod-kafka-13</t>
  </si>
  <si>
    <t>prod-kafka-14</t>
  </si>
  <si>
    <t>prod-vap-14</t>
  </si>
  <si>
    <t>prod-wip-a-14</t>
  </si>
  <si>
    <t>prod-wip-b-14</t>
  </si>
  <si>
    <t>prod-kafka-15</t>
  </si>
  <si>
    <t>prod-kafka-16</t>
  </si>
  <si>
    <t>prod-vap-16</t>
  </si>
  <si>
    <t>prod-wip-a-16</t>
  </si>
  <si>
    <t>prod-wip-b-16</t>
  </si>
  <si>
    <t>prod-kafka-17</t>
  </si>
  <si>
    <t>pt-kafka-01</t>
  </si>
  <si>
    <t>pt-kafka-02</t>
  </si>
  <si>
    <t>pt-kafka-03</t>
  </si>
  <si>
    <t>pt-kafka-04</t>
  </si>
  <si>
    <t>pt-vap-04</t>
  </si>
  <si>
    <t>pt-wip-a-04</t>
  </si>
  <si>
    <t>pt-wip-b-04</t>
  </si>
  <si>
    <t>pt-kafka-05</t>
  </si>
  <si>
    <t>pt-kafka-06</t>
  </si>
  <si>
    <t>pt-kafka-07</t>
  </si>
  <si>
    <t>pt-vap-07</t>
  </si>
  <si>
    <t>pt-wip-a-07</t>
  </si>
  <si>
    <t>pt-wip-b-07</t>
  </si>
  <si>
    <t>pt-kafka-08</t>
  </si>
  <si>
    <t>pt-vap-08</t>
  </si>
  <si>
    <t>pt-wip-a-08</t>
  </si>
  <si>
    <t>pt-wip-b-08</t>
  </si>
  <si>
    <t>pt-kafka-09</t>
  </si>
  <si>
    <t>pt-kafka-10</t>
  </si>
  <si>
    <t>pt-kafka-11</t>
  </si>
  <si>
    <t>pt-kafka-12</t>
  </si>
  <si>
    <t>pt-vap-12</t>
  </si>
  <si>
    <t>pt-wip-a-12</t>
  </si>
  <si>
    <t>pt-wip-b-12</t>
  </si>
  <si>
    <t>pt-kafka-13</t>
  </si>
  <si>
    <t>pt-kafka-14</t>
  </si>
  <si>
    <t>pt-vap-14</t>
  </si>
  <si>
    <t>pt-wip-a-14</t>
  </si>
  <si>
    <t>pt-wip-b-14</t>
  </si>
  <si>
    <t>pt-kafka-15</t>
  </si>
  <si>
    <t>pt-kafka-16</t>
  </si>
  <si>
    <t>pt-vap-16</t>
  </si>
  <si>
    <t>pt-wip-a-16</t>
  </si>
  <si>
    <t>pt-wip-b-16</t>
  </si>
  <si>
    <t>pt-kafka-17</t>
  </si>
  <si>
    <t>uat-kafka-01</t>
  </si>
  <si>
    <t>uat-kafka-02</t>
  </si>
  <si>
    <t>uat-kafka-03</t>
  </si>
  <si>
    <t>uat-kafka-04</t>
  </si>
  <si>
    <t>uat-vap-04</t>
  </si>
  <si>
    <t>uat-wip-a-04</t>
  </si>
  <si>
    <t>uat-wip-b-04</t>
  </si>
  <si>
    <t>uat-kafka-05</t>
  </si>
  <si>
    <t>uat-kafka-06</t>
  </si>
  <si>
    <t>uat-kafka-07</t>
  </si>
  <si>
    <t>uat-vap-07</t>
  </si>
  <si>
    <t>uat-wip-a-07</t>
  </si>
  <si>
    <t>uat-wip-b-07</t>
  </si>
  <si>
    <t>uat-kafka-08</t>
  </si>
  <si>
    <t>uat-vap-08</t>
  </si>
  <si>
    <t>uat-wip-a-08</t>
  </si>
  <si>
    <t>uat-wip-b-08</t>
  </si>
  <si>
    <t>uat-kafka-09</t>
  </si>
  <si>
    <t>uat-kafka-10</t>
  </si>
  <si>
    <t>uat-kafka-11</t>
  </si>
  <si>
    <t>uat-kafka-12</t>
  </si>
  <si>
    <t>uat-vap-12</t>
  </si>
  <si>
    <t>uat-wip-a-12</t>
  </si>
  <si>
    <t>uat-wip-b-12</t>
  </si>
  <si>
    <t>uat-kafka-13</t>
  </si>
  <si>
    <t>uat-kafka-14</t>
  </si>
  <si>
    <t>uat-vap-14</t>
  </si>
  <si>
    <t>uat-wip-a-14</t>
  </si>
  <si>
    <t>uat-wip-b-14</t>
  </si>
  <si>
    <t>uat-kafka-15</t>
  </si>
  <si>
    <t>uat-kafka-16</t>
  </si>
  <si>
    <t>uat-vap-16</t>
  </si>
  <si>
    <t>uat-wip-a-16</t>
  </si>
  <si>
    <t>uat-wip-b-16</t>
  </si>
  <si>
    <t>uat-kafka-17</t>
  </si>
  <si>
    <t>Yes/No/N/A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</si>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</sst>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1"/>
      <color rgb="FFFFFFFF"/>
      <name val="Carlito"/>
    </font>
    <font>
      <b/>
      <i/>
      <sz val="11"/>
      <color rgb="FFFFFFFF"/>
      <name val="Carlito"/>
    </font>
    <font>
      <i/>
      <sz val="11"/>
      <color rgb="FFFFFFFF"/>
      <name val="Carlito"/>
    </font>
    <font>
      <sz val="10"/>
      <color rgb="FF172033"/>
      <name val="Carlito"/>
    </font>
    <font>
      <b/>
      <sz val="10"/>
      <color rgb="FF172033"/>
      <name val="Carlito"/>
    </font>
    <font>
      <b/>
      <sz val="12"/>
      <color rgb="FF172033"/>
      <name val="Carlito"/>
    </font>
    <font>
      <b/>
      <sz val="13"/>
      <color rgb="FF255C99"/>
      <name val="Carlito"/>
    </font>
    <font>
      <b/>
      <sz val="11"/>
      <color rgb="FF172033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255C99"/>
      </patternFill>
    </fill>
    <fill>
      <patternFill patternType="solid">
        <fgColor rgb="FFFFFFFF"/>
      </patternFill>
    </fill>
    <fill>
      <patternFill patternType="solid">
        <fgColor rgb="FFDDEBFF"/>
      </patternFill>
    </fill>
    <fill>
      <patternFill patternType="solid">
        <fgColor rgb="FFE6F6F1"/>
      </patternFill>
    </fill>
    <fill>
      <patternFill patternType="solid">
        <fgColor rgb="FFFFF0D9"/>
      </patternFill>
    </fill>
    <fill>
      <patternFill patternType="solid">
        <fgColor rgb="FF6D597A"/>
      </patternFill>
    </fill>
    <fill>
      <patternFill patternType="solid">
        <fgColor rgb="FF2A9D8F"/>
      </patternFill>
    </fill>
    <fill>
      <patternFill patternType="solid">
        <fgColor rgb="FFE76F51"/>
      </patternFill>
    </fill>
    <fill>
      <patternFill patternType="solid">
        <fgColor rgb="FFEEF3F8"/>
      </patternFill>
    </fill>
  </fills>
  <borders count="12">
    <border>
      <left/>
      <right/>
      <top/>
      <bottom/>
      <diagonal/>
    </border>
    <border>
      <left style="thin">
        <color rgb="FF172033"/>
      </left>
      <right/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 style="thin">
        <color rgb="FF172033"/>
      </bottom>
      <diagonal/>
    </border>
    <border>
      <left/>
      <right style="thin">
        <color rgb="FF172033"/>
      </right>
      <top style="thin">
        <color rgb="FF172033"/>
      </top>
      <bottom style="thin">
        <color rgb="FF172033"/>
      </bottom>
      <diagonal/>
    </border>
    <border>
      <left style="thin">
        <color rgb="FFD7DEE8"/>
      </left>
      <right/>
      <top style="thin">
        <color rgb="FFD7DEE8"/>
      </top>
      <bottom/>
      <diagonal/>
    </border>
    <border>
      <left/>
      <right/>
      <top style="thin">
        <color rgb="FFD7DEE8"/>
      </top>
      <bottom/>
      <diagonal/>
    </border>
    <border>
      <left/>
      <right style="thin">
        <color rgb="FFD7DEE8"/>
      </right>
      <top style="thin">
        <color rgb="FFD7DEE8"/>
      </top>
      <bottom/>
      <diagonal/>
    </border>
    <border>
      <left style="thin">
        <color rgb="FFD7DEE8"/>
      </left>
      <right/>
      <top/>
      <bottom/>
      <diagonal/>
    </border>
    <border>
      <left/>
      <right style="thin">
        <color rgb="FFD7DEE8"/>
      </right>
      <top/>
      <bottom/>
      <diagonal/>
    </border>
    <border>
      <left style="thin">
        <color rgb="FFD7DEE8"/>
      </left>
      <right/>
      <top/>
      <bottom style="thin">
        <color rgb="FFD7DEE8"/>
      </bottom>
      <diagonal/>
    </border>
    <border>
      <left/>
      <right/>
      <top/>
      <bottom style="thin">
        <color rgb="FFD7DEE8"/>
      </bottom>
      <diagonal/>
    </border>
    <border>
      <left/>
      <right style="thin">
        <color rgb="FFD7DEE8"/>
      </right>
      <top/>
      <bottom style="thin">
        <color rgb="FFD7DEE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164" fontId="4" fillId="4" borderId="10" xfId="0" applyNumberFormat="1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9" fontId="4" fillId="4" borderId="5" xfId="0" applyNumberFormat="1" applyFont="1" applyFill="1" applyBorder="1" applyAlignment="1">
      <alignment horizontal="center" vertical="center" wrapText="1"/>
    </xf>
    <xf numFmtId="9" fontId="4" fillId="4" borderId="0" xfId="0" applyNumberFormat="1" applyFont="1" applyFill="1" applyAlignment="1">
      <alignment horizontal="center" vertical="center" wrapText="1"/>
    </xf>
    <xf numFmtId="9" fontId="4" fillId="4" borderId="10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6" fillId="4" borderId="4" xfId="0" applyFont="1" applyFill="1" applyBorder="1"/>
    <xf numFmtId="0" fontId="6" fillId="4" borderId="7" xfId="0" applyFont="1" applyFill="1" applyBorder="1"/>
    <xf numFmtId="0" fontId="6" fillId="4" borderId="9" xfId="0" applyFont="1" applyFill="1" applyBorder="1"/>
    <xf numFmtId="0" fontId="7" fillId="11" borderId="6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9" fontId="7" fillId="11" borderId="1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9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0" fillId="4" borderId="8" xfId="0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9" fontId="8" fillId="11" borderId="10" xfId="0" applyNumberFormat="1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9" fontId="0" fillId="4" borderId="6" xfId="0" applyNumberFormat="1" applyFill="1" applyBorder="1"/>
    <xf numFmtId="9" fontId="0" fillId="4" borderId="8" xfId="0" applyNumberFormat="1" applyFill="1" applyBorder="1"/>
    <xf numFmtId="9" fontId="0" fillId="4" borderId="11" xfId="0" applyNumberFormat="1" applyFill="1" applyBorder="1"/>
    <xf numFmtId="0" fontId="1" fillId="8" borderId="0" xfId="0" applyFont="1" applyFill="1" applyAlignment="1">
      <alignment horizontal="center"/>
    </xf>
    <xf numFmtId="0" fontId="0" fillId="4" borderId="4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8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color rgb="FF9A3412"/>
      </font>
      <fill>
        <patternFill patternType="solid">
          <bgColor rgb="FFFFF7ED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4A315D"/>
      </font>
      <fill>
        <patternFill patternType="solid">
          <bgColor rgb="FFEFE7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Average Completion by Environment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Complete</c:v>
          </c:tx>
          <c:spPr>
            <a:solidFill>
              <a:srgbClr val="2A9D8F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PROD</c:v>
              </c:pt>
              <c:pt idx="1">
                <c:v>PT</c:v>
              </c:pt>
              <c:pt idx="2">
                <c:v>UAT</c:v>
              </c:pt>
            </c:strLit>
          </c:cat>
          <c:val>
            <c:numLit>
              <c:formatCode>General</c:formatCode>
              <c:ptCount val="3"/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7B4-6A49-94F5-02CAB73FEF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Clusters by Status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Clusters</c:v>
          </c:tx>
          <c:spPr>
            <a:solidFill>
              <a:srgbClr val="255C9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Not Started</c:v>
              </c:pt>
              <c:pt idx="1">
                <c:v>Planned</c:v>
              </c:pt>
              <c:pt idx="2">
                <c:v>IP Reserved</c:v>
              </c:pt>
              <c:pt idx="3">
                <c:v>DNS Created</c:v>
              </c:pt>
              <c:pt idx="4">
                <c:v>LB Configured</c:v>
              </c:pt>
              <c:pt idx="5">
                <c:v>Validation</c:v>
              </c:pt>
              <c:pt idx="6">
                <c:v>Completed</c:v>
              </c:pt>
              <c:pt idx="7">
                <c:v>Blocked</c:v>
              </c:pt>
            </c:strLit>
          </c:cat>
          <c:val>
            <c:numLit>
              <c:formatCode>General</c:formatCode>
              <c:ptCount val="8"/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F14-604E-8653-511FEB391F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4953000" cy="2667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715000" cy="2667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Kafka LB Tracker">
  <a:themeElements>
    <a:clrScheme name="Kafka LB Tracker">
      <a:dk1>
        <a:srgbClr val="172033"/>
      </a:dk1>
      <a:lt1>
        <a:srgbClr val="FFFFFF"/>
      </a:lt1>
      <a:dk2>
        <a:srgbClr val="0E2841"/>
      </a:dk2>
      <a:lt2>
        <a:srgbClr val="EEF3F8"/>
      </a:lt2>
      <a:accent1>
        <a:srgbClr val="255C99"/>
      </a:accent1>
      <a:accent2>
        <a:srgbClr val="F4A261"/>
      </a:accent2>
      <a:accent3>
        <a:srgbClr val="2A9D8F"/>
      </a:accent3>
      <a:accent4>
        <a:srgbClr val="E76F51"/>
      </a:accent4>
      <a:accent5>
        <a:srgbClr val="6D597A"/>
      </a:accent5>
      <a:accent6>
        <a:srgbClr val="84A59D"/>
      </a:accent6>
      <a:hlink>
        <a:srgbClr val="255C99"/>
      </a:hlink>
      <a:folHlink>
        <a:srgbClr val="6D597A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Kafka LB Tracker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abSelected="1" workbookViewId="0">
      <selection sqref="A1:N1"/>
    </sheetView>
  </sheetViews>
  <sheetFormatPr baseColWidth="10" defaultColWidth="8.83203125" defaultRowHeight="14"/>
  <cols>
    <col min="1" max="14" width="16.5" customWidth="1"/>
  </cols>
  <sheetData>
    <row r="1" spans="1:14" ht="15">
      <c r="A1" s="67" t="s">
        <v>0</v>
      </c>
      <c r="B1" s="67" t="s">
        <v>0</v>
      </c>
      <c r="C1" s="67" t="s">
        <v>0</v>
      </c>
      <c r="D1" s="67" t="s">
        <v>0</v>
      </c>
      <c r="E1" s="67" t="s">
        <v>0</v>
      </c>
      <c r="F1" s="67" t="s">
        <v>0</v>
      </c>
      <c r="G1" s="67" t="s">
        <v>0</v>
      </c>
      <c r="H1" s="67" t="s">
        <v>0</v>
      </c>
      <c r="I1" s="67" t="s">
        <v>0</v>
      </c>
      <c r="J1" s="67" t="s">
        <v>0</v>
      </c>
      <c r="K1" s="67" t="s">
        <v>0</v>
      </c>
      <c r="L1" s="67" t="s">
        <v>0</v>
      </c>
      <c r="M1" s="67" t="s">
        <v>0</v>
      </c>
      <c r="N1" s="67" t="s">
        <v>0</v>
      </c>
    </row>
    <row r="2" spans="1:14" ht="1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</row>
    <row r="4" spans="1:14" ht="15">
      <c r="A4" s="1" t="s">
        <v>1</v>
      </c>
      <c r="B4" s="1" t="s">
        <v>2</v>
      </c>
      <c r="D4" s="36" t="s">
        <v>3</v>
      </c>
      <c r="E4" s="36" t="s">
        <v>4</v>
      </c>
      <c r="F4" s="36" t="s">
        <v>5</v>
      </c>
      <c r="G4" s="36" t="s">
        <v>6</v>
      </c>
      <c r="H4" s="36" t="s">
        <v>7</v>
      </c>
      <c r="I4" s="36" t="s">
        <v>8</v>
      </c>
    </row>
    <row r="5" spans="1:14" ht="17">
      <c r="A5" s="30" t="s">
        <v>9</v>
      </c>
      <c r="B5" s="33">
        <f>COUNTA('Cluster Tracker'!B5:B55)</f>
        <v>51</v>
      </c>
      <c r="D5" s="42" t="s">
        <v>10</v>
      </c>
      <c r="E5" s="43">
        <f>COUNTIF('Cluster Tracker'!A5:A55,D5)</f>
        <v>17</v>
      </c>
      <c r="F5" s="43">
        <f>COUNTIFS('Cluster Tracker'!A5:A55,D5,'Cluster Tracker'!V5:V55,"Completed")</f>
        <v>0</v>
      </c>
      <c r="G5" s="43">
        <f>COUNTIFS('Cluster Tracker'!A5:A55,D5,'Cluster Tracker'!V5:V55,"Blocked")</f>
        <v>0</v>
      </c>
      <c r="H5" s="44">
        <f>AVERAGEIF('Cluster Tracker'!A5:A55,D5,'Cluster Tracker'!U5:U55)</f>
        <v>0</v>
      </c>
      <c r="I5" s="45">
        <f>COUNTIFS('Cluster Tracker'!A5:A55,D5,'Cluster Tracker'!C5:C55,"MRC")</f>
        <v>6</v>
      </c>
    </row>
    <row r="6" spans="1:14" ht="17">
      <c r="A6" s="31" t="s">
        <v>5</v>
      </c>
      <c r="B6" s="34">
        <f>COUNTIF('Cluster Tracker'!V5:V55,"Completed")</f>
        <v>0</v>
      </c>
      <c r="D6" s="46" t="s">
        <v>11</v>
      </c>
      <c r="E6" s="47">
        <f>COUNTIF('Cluster Tracker'!A5:A55,D6)</f>
        <v>17</v>
      </c>
      <c r="F6" s="47">
        <f>COUNTIFS('Cluster Tracker'!A5:A55,D6,'Cluster Tracker'!V5:V55,"Completed")</f>
        <v>0</v>
      </c>
      <c r="G6" s="47">
        <f>COUNTIFS('Cluster Tracker'!A5:A55,D6,'Cluster Tracker'!V5:V55,"Blocked")</f>
        <v>0</v>
      </c>
      <c r="H6" s="48">
        <f>AVERAGEIF('Cluster Tracker'!A5:A55,D6,'Cluster Tracker'!U5:U55)</f>
        <v>0</v>
      </c>
      <c r="I6" s="49">
        <f>COUNTIFS('Cluster Tracker'!A5:A55,D6,'Cluster Tracker'!C5:C55,"MRC")</f>
        <v>6</v>
      </c>
    </row>
    <row r="7" spans="1:14" ht="17">
      <c r="A7" s="31" t="s">
        <v>12</v>
      </c>
      <c r="B7" s="34">
        <f>COUNTIFS('Cluster Tracker'!V5:V55,"&lt;&gt;Completed",'Cluster Tracker'!V5:V55,"&lt;&gt;Not Started",'Cluster Tracker'!V5:V55,"&lt;&gt;Blocked")</f>
        <v>0</v>
      </c>
      <c r="D7" s="46" t="s">
        <v>13</v>
      </c>
      <c r="E7" s="47">
        <f>COUNTIF('Cluster Tracker'!A5:A55,D7)</f>
        <v>17</v>
      </c>
      <c r="F7" s="47">
        <f>COUNTIFS('Cluster Tracker'!A5:A55,D7,'Cluster Tracker'!V5:V55,"Completed")</f>
        <v>0</v>
      </c>
      <c r="G7" s="47">
        <f>COUNTIFS('Cluster Tracker'!A5:A55,D7,'Cluster Tracker'!V5:V55,"Blocked")</f>
        <v>0</v>
      </c>
      <c r="H7" s="48">
        <f>AVERAGEIF('Cluster Tracker'!A5:A55,D7,'Cluster Tracker'!U5:U55)</f>
        <v>0</v>
      </c>
      <c r="I7" s="49">
        <f>COUNTIFS('Cluster Tracker'!A5:A55,D7,'Cluster Tracker'!C5:C55,"MRC")</f>
        <v>6</v>
      </c>
    </row>
    <row r="8" spans="1:14" ht="17">
      <c r="A8" s="31" t="s">
        <v>6</v>
      </c>
      <c r="B8" s="34">
        <f>COUNTIF('Cluster Tracker'!V5:V55,"Blocked")</f>
        <v>0</v>
      </c>
      <c r="D8" s="50" t="s">
        <v>14</v>
      </c>
      <c r="E8" s="51">
        <f>SUM(E5:E7)</f>
        <v>51</v>
      </c>
      <c r="F8" s="51">
        <f>SUM(F5:F7)</f>
        <v>0</v>
      </c>
      <c r="G8" s="51">
        <f>SUM(G5:G7)</f>
        <v>0</v>
      </c>
      <c r="H8" s="52">
        <f>AVERAGE(H5:H7)</f>
        <v>0</v>
      </c>
      <c r="I8" s="53">
        <f>SUM(I5:I7)</f>
        <v>18</v>
      </c>
    </row>
    <row r="9" spans="1:14" ht="17">
      <c r="A9" s="32" t="s">
        <v>15</v>
      </c>
      <c r="B9" s="35">
        <f>AVERAGE('Cluster Tracker'!U5:U55)</f>
        <v>0</v>
      </c>
    </row>
    <row r="12" spans="1:14" ht="15">
      <c r="A12" s="1" t="s">
        <v>16</v>
      </c>
      <c r="B12" s="1" t="s">
        <v>17</v>
      </c>
      <c r="C12" s="1" t="s">
        <v>18</v>
      </c>
      <c r="E12" s="57" t="s">
        <v>19</v>
      </c>
      <c r="F12" s="57" t="s">
        <v>3</v>
      </c>
      <c r="G12" s="57" t="s">
        <v>20</v>
      </c>
      <c r="H12" s="57" t="s">
        <v>21</v>
      </c>
    </row>
    <row r="13" spans="1:14" ht="45">
      <c r="A13" s="37" t="s">
        <v>22</v>
      </c>
      <c r="B13" s="38">
        <f>COUNTIF('Cluster Tracker'!V5:V55,A13)</f>
        <v>51</v>
      </c>
      <c r="C13" s="54">
        <f t="shared" ref="C13:C20" si="0">IFERROR(B13/$B$5,0)</f>
        <v>1</v>
      </c>
      <c r="E13" s="58">
        <v>1</v>
      </c>
      <c r="F13" s="59" t="str">
        <f>IFERROR(INDEX('Cluster Tracker'!A$5:A$55,SMALL(IF(('Cluster Tracker'!V$5:V$55&lt;&gt;"Completed")*('Cluster Tracker'!Y$5:Y$55&lt;&gt;""),ROW('Cluster Tracker'!A$5:A$55)-ROW('Cluster Tracker'!A$5)+1),E13)),"")</f>
        <v>PROD</v>
      </c>
      <c r="G13" s="59" t="str">
        <f>IFERROR(INDEX('Cluster Tracker'!B$5:B$55,SMALL(IF(('Cluster Tracker'!V$5:V$55&lt;&gt;"Completed")*('Cluster Tracker'!Y$5:Y$55&lt;&gt;""),ROW('Cluster Tracker'!B$5:B$55)-ROW('Cluster Tracker'!B$5)+1),E13)),"")</f>
        <v>prod-kafka-01</v>
      </c>
      <c r="H13" s="60" t="str">
        <f>IFERROR(INDEX('Cluster Tracker'!Y$5:Y$55,SMALL(IF(('Cluster Tracker'!V$5:V$55&lt;&gt;"Completed")*('Cluster Tracker'!Y$5:Y$55&lt;&gt;""),ROW('Cluster Tracker'!Y$5:Y$55)-ROW('Cluster Tracker'!Y$5)+1),E13)),"")</f>
        <v>Confirm LB IP allocation and DNS naming standard</v>
      </c>
    </row>
    <row r="14" spans="1:14" ht="45">
      <c r="A14" s="39" t="s">
        <v>23</v>
      </c>
      <c r="B14" s="6">
        <f>COUNTIF('Cluster Tracker'!V5:V55,A14)</f>
        <v>0</v>
      </c>
      <c r="C14" s="55">
        <f t="shared" si="0"/>
        <v>0</v>
      </c>
      <c r="E14" s="61">
        <v>2</v>
      </c>
      <c r="F14" s="62" t="str">
        <f>IFERROR(INDEX('Cluster Tracker'!A$5:A$55,SMALL(IF(('Cluster Tracker'!V$5:V$55&lt;&gt;"Completed")*('Cluster Tracker'!Y$5:Y$55&lt;&gt;""),ROW('Cluster Tracker'!A$5:A$55)-ROW('Cluster Tracker'!A$5)+1),E14)),"")</f>
        <v/>
      </c>
      <c r="G14" s="62" t="str">
        <f>IFERROR(INDEX('Cluster Tracker'!B$5:B$55,SMALL(IF(('Cluster Tracker'!V$5:V$55&lt;&gt;"Completed")*('Cluster Tracker'!Y$5:Y$55&lt;&gt;""),ROW('Cluster Tracker'!B$5:B$55)-ROW('Cluster Tracker'!B$5)+1),E14)),"")</f>
        <v/>
      </c>
      <c r="H14" s="63" t="str">
        <f>IFERROR(INDEX('Cluster Tracker'!Y$5:Y$55,SMALL(IF(('Cluster Tracker'!V$5:V$55&lt;&gt;"Completed")*('Cluster Tracker'!Y$5:Y$55&lt;&gt;""),ROW('Cluster Tracker'!Y$5:Y$55)-ROW('Cluster Tracker'!Y$5)+1),E14)),"")</f>
        <v/>
      </c>
    </row>
    <row r="15" spans="1:14" ht="45">
      <c r="A15" s="39" t="s">
        <v>24</v>
      </c>
      <c r="B15" s="6">
        <f>COUNTIF('Cluster Tracker'!V5:V55,A15)</f>
        <v>0</v>
      </c>
      <c r="C15" s="55">
        <f t="shared" si="0"/>
        <v>0</v>
      </c>
      <c r="E15" s="61">
        <v>3</v>
      </c>
      <c r="F15" s="62" t="str">
        <f>IFERROR(INDEX('Cluster Tracker'!A$5:A$55,SMALL(IF(('Cluster Tracker'!V$5:V$55&lt;&gt;"Completed")*('Cluster Tracker'!Y$5:Y$55&lt;&gt;""),ROW('Cluster Tracker'!A$5:A$55)-ROW('Cluster Tracker'!A$5)+1),E15)),"")</f>
        <v/>
      </c>
      <c r="G15" s="62" t="str">
        <f>IFERROR(INDEX('Cluster Tracker'!B$5:B$55,SMALL(IF(('Cluster Tracker'!V$5:V$55&lt;&gt;"Completed")*('Cluster Tracker'!Y$5:Y$55&lt;&gt;""),ROW('Cluster Tracker'!B$5:B$55)-ROW('Cluster Tracker'!B$5)+1),E15)),"")</f>
        <v/>
      </c>
      <c r="H15" s="63" t="str">
        <f>IFERROR(INDEX('Cluster Tracker'!Y$5:Y$55,SMALL(IF(('Cluster Tracker'!V$5:V$55&lt;&gt;"Completed")*('Cluster Tracker'!Y$5:Y$55&lt;&gt;""),ROW('Cluster Tracker'!Y$5:Y$55)-ROW('Cluster Tracker'!Y$5)+1),E15)),"")</f>
        <v/>
      </c>
    </row>
    <row r="16" spans="1:14" ht="45">
      <c r="A16" s="39" t="s">
        <v>25</v>
      </c>
      <c r="B16" s="6">
        <f>COUNTIF('Cluster Tracker'!V5:V55,A16)</f>
        <v>0</v>
      </c>
      <c r="C16" s="55">
        <f t="shared" si="0"/>
        <v>0</v>
      </c>
      <c r="E16" s="61">
        <v>4</v>
      </c>
      <c r="F16" s="62" t="str">
        <f>IFERROR(INDEX('Cluster Tracker'!A$5:A$55,SMALL(IF(('Cluster Tracker'!V$5:V$55&lt;&gt;"Completed")*('Cluster Tracker'!Y$5:Y$55&lt;&gt;""),ROW('Cluster Tracker'!A$5:A$55)-ROW('Cluster Tracker'!A$5)+1),E16)),"")</f>
        <v/>
      </c>
      <c r="G16" s="62" t="str">
        <f>IFERROR(INDEX('Cluster Tracker'!B$5:B$55,SMALL(IF(('Cluster Tracker'!V$5:V$55&lt;&gt;"Completed")*('Cluster Tracker'!Y$5:Y$55&lt;&gt;""),ROW('Cluster Tracker'!B$5:B$55)-ROW('Cluster Tracker'!B$5)+1),E16)),"")</f>
        <v/>
      </c>
      <c r="H16" s="63" t="str">
        <f>IFERROR(INDEX('Cluster Tracker'!Y$5:Y$55,SMALL(IF(('Cluster Tracker'!V$5:V$55&lt;&gt;"Completed")*('Cluster Tracker'!Y$5:Y$55&lt;&gt;""),ROW('Cluster Tracker'!Y$5:Y$55)-ROW('Cluster Tracker'!Y$5)+1),E16)),"")</f>
        <v/>
      </c>
    </row>
    <row r="17" spans="1:8" ht="45">
      <c r="A17" s="39" t="s">
        <v>26</v>
      </c>
      <c r="B17" s="6">
        <f>COUNTIF('Cluster Tracker'!V5:V55,A17)</f>
        <v>0</v>
      </c>
      <c r="C17" s="55">
        <f t="shared" si="0"/>
        <v>0</v>
      </c>
      <c r="E17" s="61">
        <v>5</v>
      </c>
      <c r="F17" s="62" t="str">
        <f>IFERROR(INDEX('Cluster Tracker'!A$5:A$55,SMALL(IF(('Cluster Tracker'!V$5:V$55&lt;&gt;"Completed")*('Cluster Tracker'!Y$5:Y$55&lt;&gt;""),ROW('Cluster Tracker'!A$5:A$55)-ROW('Cluster Tracker'!A$5)+1),E17)),"")</f>
        <v/>
      </c>
      <c r="G17" s="62" t="str">
        <f>IFERROR(INDEX('Cluster Tracker'!B$5:B$55,SMALL(IF(('Cluster Tracker'!V$5:V$55&lt;&gt;"Completed")*('Cluster Tracker'!Y$5:Y$55&lt;&gt;""),ROW('Cluster Tracker'!B$5:B$55)-ROW('Cluster Tracker'!B$5)+1),E17)),"")</f>
        <v/>
      </c>
      <c r="H17" s="63" t="str">
        <f>IFERROR(INDEX('Cluster Tracker'!Y$5:Y$55,SMALL(IF(('Cluster Tracker'!V$5:V$55&lt;&gt;"Completed")*('Cluster Tracker'!Y$5:Y$55&lt;&gt;""),ROW('Cluster Tracker'!Y$5:Y$55)-ROW('Cluster Tracker'!Y$5)+1),E17)),"")</f>
        <v/>
      </c>
    </row>
    <row r="18" spans="1:8" ht="45">
      <c r="A18" s="39" t="s">
        <v>27</v>
      </c>
      <c r="B18" s="6">
        <f>COUNTIF('Cluster Tracker'!V5:V55,A18)</f>
        <v>0</v>
      </c>
      <c r="C18" s="55">
        <f t="shared" si="0"/>
        <v>0</v>
      </c>
      <c r="E18" s="64">
        <v>6</v>
      </c>
      <c r="F18" s="65" t="str">
        <f>IFERROR(INDEX('Cluster Tracker'!A$5:A$55,SMALL(IF(('Cluster Tracker'!V$5:V$55&lt;&gt;"Completed")*('Cluster Tracker'!Y$5:Y$55&lt;&gt;""),ROW('Cluster Tracker'!A$5:A$55)-ROW('Cluster Tracker'!A$5)+1),E18)),"")</f>
        <v/>
      </c>
      <c r="G18" s="65" t="str">
        <f>IFERROR(INDEX('Cluster Tracker'!B$5:B$55,SMALL(IF(('Cluster Tracker'!V$5:V$55&lt;&gt;"Completed")*('Cluster Tracker'!Y$5:Y$55&lt;&gt;""),ROW('Cluster Tracker'!B$5:B$55)-ROW('Cluster Tracker'!B$5)+1),E18)),"")</f>
        <v/>
      </c>
      <c r="H18" s="66" t="str">
        <f>IFERROR(INDEX('Cluster Tracker'!Y$5:Y$55,SMALL(IF(('Cluster Tracker'!V$5:V$55&lt;&gt;"Completed")*('Cluster Tracker'!Y$5:Y$55&lt;&gt;""),ROW('Cluster Tracker'!Y$5:Y$55)-ROW('Cluster Tracker'!Y$5)+1),E18)),"")</f>
        <v/>
      </c>
    </row>
    <row r="19" spans="1:8">
      <c r="A19" s="39" t="s">
        <v>5</v>
      </c>
      <c r="B19" s="6">
        <f>COUNTIF('Cluster Tracker'!V5:V55,A19)</f>
        <v>0</v>
      </c>
      <c r="C19" s="55">
        <f t="shared" si="0"/>
        <v>0</v>
      </c>
    </row>
    <row r="20" spans="1:8">
      <c r="A20" s="40" t="s">
        <v>6</v>
      </c>
      <c r="B20" s="41">
        <f>COUNTIF('Cluster Tracker'!V5:V55,A20)</f>
        <v>0</v>
      </c>
      <c r="C20" s="56">
        <f t="shared" si="0"/>
        <v>0</v>
      </c>
    </row>
  </sheetData>
  <mergeCells count="1">
    <mergeCell ref="A1:N1"/>
  </mergeCells>
  <conditionalFormatting sqref="C13:C20">
    <cfRule type="dataBar" priority="1">
      <dataBar>
        <cfvo type="min"/>
        <cfvo type="max"/>
        <color rgb="FFF4A261"/>
      </dataBar>
    </cfRule>
    <cfRule type="dataBar" priority="2">
      <dataBar>
        <cfvo type="min"/>
        <cfvo type="max"/>
        <color rgb="FFF4A261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C13:C20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5"/>
  <sheetViews>
    <sheetView showGridLines="0" workbookViewId="0"/>
  </sheetViews>
  <sheetFormatPr baseColWidth="10" defaultColWidth="8.83203125" defaultRowHeight="14"/>
  <cols>
    <col min="1" max="1" width="12.83203125" customWidth="1"/>
    <col min="2" max="2" width="20.6640625" customWidth="1"/>
    <col min="3" max="3" width="12.1640625" customWidth="1"/>
    <col min="4" max="4" width="20" customWidth="1"/>
    <col min="5" max="5" width="17.83203125" customWidth="1"/>
    <col min="6" max="6" width="26.5" customWidth="1"/>
    <col min="7" max="8" width="17.83203125" customWidth="1"/>
    <col min="9" max="9" width="26.5" customWidth="1"/>
    <col min="10" max="11" width="17.83203125" customWidth="1"/>
    <col min="12" max="12" width="26.5" customWidth="1"/>
    <col min="13" max="14" width="17.83203125" customWidth="1"/>
    <col min="15" max="15" width="26.5" customWidth="1"/>
    <col min="16" max="17" width="12.83203125" customWidth="1"/>
    <col min="18" max="18" width="15" customWidth="1"/>
    <col min="19" max="20" width="17.83203125" customWidth="1"/>
    <col min="21" max="21" width="12.83203125" customWidth="1"/>
    <col min="22" max="23" width="16.5" customWidth="1"/>
    <col min="24" max="24" width="15" customWidth="1"/>
    <col min="25" max="25" width="37.1640625" customWidth="1"/>
    <col min="26" max="26" width="33.5" customWidth="1"/>
  </cols>
  <sheetData>
    <row r="1" spans="1:26" ht="15">
      <c r="A1" s="67" t="s">
        <v>28</v>
      </c>
      <c r="B1" s="67" t="s">
        <v>28</v>
      </c>
      <c r="C1" s="67" t="s">
        <v>28</v>
      </c>
      <c r="D1" s="67" t="s">
        <v>28</v>
      </c>
      <c r="E1" s="67" t="s">
        <v>28</v>
      </c>
      <c r="F1" s="67" t="s">
        <v>28</v>
      </c>
      <c r="G1" s="67" t="s">
        <v>28</v>
      </c>
      <c r="H1" s="67" t="s">
        <v>28</v>
      </c>
      <c r="I1" s="67" t="s">
        <v>28</v>
      </c>
      <c r="J1" s="67" t="s">
        <v>28</v>
      </c>
      <c r="K1" s="67" t="s">
        <v>28</v>
      </c>
      <c r="L1" s="67" t="s">
        <v>28</v>
      </c>
      <c r="M1" s="67" t="s">
        <v>28</v>
      </c>
      <c r="N1" s="67" t="s">
        <v>28</v>
      </c>
      <c r="O1" s="67" t="s">
        <v>28</v>
      </c>
      <c r="P1" s="67" t="s">
        <v>28</v>
      </c>
      <c r="Q1" s="67" t="s">
        <v>28</v>
      </c>
      <c r="R1" s="67" t="s">
        <v>28</v>
      </c>
      <c r="S1" s="67" t="s">
        <v>28</v>
      </c>
      <c r="T1" s="67" t="s">
        <v>28</v>
      </c>
      <c r="U1" s="67" t="s">
        <v>28</v>
      </c>
      <c r="V1" s="67" t="s">
        <v>28</v>
      </c>
      <c r="W1" s="67" t="s">
        <v>28</v>
      </c>
      <c r="X1" s="67" t="s">
        <v>28</v>
      </c>
      <c r="Y1" s="67" t="s">
        <v>28</v>
      </c>
      <c r="Z1" s="67" t="s">
        <v>28</v>
      </c>
    </row>
    <row r="2" spans="1:26" ht="15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  <c r="Z2" s="2" t="s">
        <v>28</v>
      </c>
    </row>
    <row r="4" spans="1:26" ht="32">
      <c r="A4" s="3" t="s">
        <v>3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27" t="s">
        <v>34</v>
      </c>
      <c r="H4" s="27" t="s">
        <v>35</v>
      </c>
      <c r="I4" s="27" t="s">
        <v>36</v>
      </c>
      <c r="J4" s="27" t="s">
        <v>37</v>
      </c>
      <c r="K4" s="27" t="s">
        <v>38</v>
      </c>
      <c r="L4" s="27" t="s">
        <v>39</v>
      </c>
      <c r="M4" s="27" t="s">
        <v>40</v>
      </c>
      <c r="N4" s="27" t="s">
        <v>41</v>
      </c>
      <c r="O4" s="27" t="s">
        <v>42</v>
      </c>
      <c r="P4" s="28" t="s">
        <v>24</v>
      </c>
      <c r="Q4" s="28" t="s">
        <v>25</v>
      </c>
      <c r="R4" s="28" t="s">
        <v>26</v>
      </c>
      <c r="S4" s="28" t="s">
        <v>43</v>
      </c>
      <c r="T4" s="28" t="s">
        <v>44</v>
      </c>
      <c r="U4" s="29" t="s">
        <v>45</v>
      </c>
      <c r="V4" s="29" t="s">
        <v>16</v>
      </c>
      <c r="W4" s="4" t="s">
        <v>46</v>
      </c>
      <c r="X4" s="4" t="s">
        <v>47</v>
      </c>
      <c r="Y4" s="4" t="s">
        <v>21</v>
      </c>
      <c r="Z4" s="5" t="s">
        <v>48</v>
      </c>
    </row>
    <row r="5" spans="1:26" ht="28">
      <c r="A5" s="22" t="s">
        <v>10</v>
      </c>
      <c r="B5" s="7" t="s">
        <v>49</v>
      </c>
      <c r="C5" s="16" t="s">
        <v>50</v>
      </c>
      <c r="D5" s="7" t="s">
        <v>51</v>
      </c>
      <c r="E5" s="7"/>
      <c r="F5" s="7"/>
      <c r="G5" s="7" t="s">
        <v>52</v>
      </c>
      <c r="H5" s="7"/>
      <c r="I5" s="7"/>
      <c r="J5" s="7" t="s">
        <v>52</v>
      </c>
      <c r="K5" s="7"/>
      <c r="L5" s="7"/>
      <c r="M5" s="7" t="s">
        <v>52</v>
      </c>
      <c r="N5" s="7"/>
      <c r="O5" s="7"/>
      <c r="P5" s="16" t="s">
        <v>53</v>
      </c>
      <c r="Q5" s="16" t="s">
        <v>53</v>
      </c>
      <c r="R5" s="16" t="s">
        <v>53</v>
      </c>
      <c r="S5" s="16" t="s">
        <v>53</v>
      </c>
      <c r="T5" s="16" t="s">
        <v>53</v>
      </c>
      <c r="U5" s="19">
        <f t="shared" ref="U5:U36" si="0">IFERROR(COUNTIF(P5:T5,"Yes")/(COUNTIF(P5:T5,"Yes")+COUNTIF(P5:T5,"No")),0)</f>
        <v>0</v>
      </c>
      <c r="V5" s="16" t="s">
        <v>22</v>
      </c>
      <c r="W5" s="7"/>
      <c r="X5" s="13"/>
      <c r="Y5" s="7" t="s">
        <v>54</v>
      </c>
      <c r="Z5" s="8"/>
    </row>
    <row r="6" spans="1:26" ht="28">
      <c r="A6" s="23" t="s">
        <v>10</v>
      </c>
      <c r="B6" s="9" t="s">
        <v>55</v>
      </c>
      <c r="C6" s="17" t="s">
        <v>50</v>
      </c>
      <c r="D6" s="9" t="s">
        <v>56</v>
      </c>
      <c r="E6" s="9"/>
      <c r="F6" s="9"/>
      <c r="G6" s="9" t="s">
        <v>52</v>
      </c>
      <c r="H6" s="9"/>
      <c r="I6" s="9"/>
      <c r="J6" s="9" t="s">
        <v>52</v>
      </c>
      <c r="K6" s="9"/>
      <c r="L6" s="9"/>
      <c r="M6" s="9" t="s">
        <v>52</v>
      </c>
      <c r="N6" s="9"/>
      <c r="O6" s="9"/>
      <c r="P6" s="17" t="s">
        <v>53</v>
      </c>
      <c r="Q6" s="17" t="s">
        <v>53</v>
      </c>
      <c r="R6" s="17" t="s">
        <v>53</v>
      </c>
      <c r="S6" s="17" t="s">
        <v>53</v>
      </c>
      <c r="T6" s="17" t="s">
        <v>53</v>
      </c>
      <c r="U6" s="20">
        <f t="shared" si="0"/>
        <v>0</v>
      </c>
      <c r="V6" s="17" t="s">
        <v>22</v>
      </c>
      <c r="W6" s="9"/>
      <c r="X6" s="14"/>
      <c r="Y6" s="9" t="s">
        <v>54</v>
      </c>
      <c r="Z6" s="10"/>
    </row>
    <row r="7" spans="1:26" ht="28">
      <c r="A7" s="23" t="s">
        <v>10</v>
      </c>
      <c r="B7" s="9" t="s">
        <v>57</v>
      </c>
      <c r="C7" s="17" t="s">
        <v>50</v>
      </c>
      <c r="D7" s="9" t="s">
        <v>58</v>
      </c>
      <c r="E7" s="9"/>
      <c r="F7" s="9"/>
      <c r="G7" s="9" t="s">
        <v>52</v>
      </c>
      <c r="H7" s="9"/>
      <c r="I7" s="9"/>
      <c r="J7" s="9" t="s">
        <v>52</v>
      </c>
      <c r="K7" s="9"/>
      <c r="L7" s="9"/>
      <c r="M7" s="9" t="s">
        <v>52</v>
      </c>
      <c r="N7" s="9"/>
      <c r="O7" s="9"/>
      <c r="P7" s="17" t="s">
        <v>53</v>
      </c>
      <c r="Q7" s="17" t="s">
        <v>53</v>
      </c>
      <c r="R7" s="17" t="s">
        <v>53</v>
      </c>
      <c r="S7" s="17" t="s">
        <v>53</v>
      </c>
      <c r="T7" s="17" t="s">
        <v>53</v>
      </c>
      <c r="U7" s="20">
        <f t="shared" si="0"/>
        <v>0</v>
      </c>
      <c r="V7" s="17" t="s">
        <v>22</v>
      </c>
      <c r="W7" s="9"/>
      <c r="X7" s="14"/>
      <c r="Y7" s="9" t="s">
        <v>54</v>
      </c>
      <c r="Z7" s="10"/>
    </row>
    <row r="8" spans="1:26" ht="28">
      <c r="A8" s="23" t="s">
        <v>10</v>
      </c>
      <c r="B8" s="9" t="s">
        <v>59</v>
      </c>
      <c r="C8" s="17" t="s">
        <v>60</v>
      </c>
      <c r="D8" s="9" t="s">
        <v>61</v>
      </c>
      <c r="E8" s="9"/>
      <c r="F8" s="9"/>
      <c r="G8" s="9" t="s">
        <v>62</v>
      </c>
      <c r="H8" s="9"/>
      <c r="I8" s="9"/>
      <c r="J8" s="9" t="s">
        <v>63</v>
      </c>
      <c r="K8" s="9"/>
      <c r="L8" s="9"/>
      <c r="M8" s="9" t="s">
        <v>64</v>
      </c>
      <c r="N8" s="9"/>
      <c r="O8" s="9"/>
      <c r="P8" s="17" t="s">
        <v>53</v>
      </c>
      <c r="Q8" s="17" t="s">
        <v>53</v>
      </c>
      <c r="R8" s="17" t="s">
        <v>53</v>
      </c>
      <c r="S8" s="17" t="s">
        <v>53</v>
      </c>
      <c r="T8" s="17" t="s">
        <v>53</v>
      </c>
      <c r="U8" s="20">
        <f t="shared" si="0"/>
        <v>0</v>
      </c>
      <c r="V8" s="17" t="s">
        <v>22</v>
      </c>
      <c r="W8" s="9"/>
      <c r="X8" s="14"/>
      <c r="Y8" s="9" t="s">
        <v>54</v>
      </c>
      <c r="Z8" s="10"/>
    </row>
    <row r="9" spans="1:26" ht="28">
      <c r="A9" s="23" t="s">
        <v>10</v>
      </c>
      <c r="B9" s="9" t="s">
        <v>65</v>
      </c>
      <c r="C9" s="17" t="s">
        <v>50</v>
      </c>
      <c r="D9" s="9" t="s">
        <v>66</v>
      </c>
      <c r="E9" s="9"/>
      <c r="F9" s="9"/>
      <c r="G9" s="9" t="s">
        <v>52</v>
      </c>
      <c r="H9" s="9"/>
      <c r="I9" s="9"/>
      <c r="J9" s="9" t="s">
        <v>52</v>
      </c>
      <c r="K9" s="9"/>
      <c r="L9" s="9"/>
      <c r="M9" s="9" t="s">
        <v>52</v>
      </c>
      <c r="N9" s="9"/>
      <c r="O9" s="9"/>
      <c r="P9" s="17" t="s">
        <v>53</v>
      </c>
      <c r="Q9" s="17" t="s">
        <v>53</v>
      </c>
      <c r="R9" s="17" t="s">
        <v>53</v>
      </c>
      <c r="S9" s="17" t="s">
        <v>53</v>
      </c>
      <c r="T9" s="17" t="s">
        <v>53</v>
      </c>
      <c r="U9" s="20">
        <f t="shared" si="0"/>
        <v>0</v>
      </c>
      <c r="V9" s="17" t="s">
        <v>22</v>
      </c>
      <c r="W9" s="9"/>
      <c r="X9" s="14"/>
      <c r="Y9" s="9" t="s">
        <v>54</v>
      </c>
      <c r="Z9" s="10"/>
    </row>
    <row r="10" spans="1:26" ht="28">
      <c r="A10" s="23" t="s">
        <v>10</v>
      </c>
      <c r="B10" s="9" t="s">
        <v>67</v>
      </c>
      <c r="C10" s="17" t="s">
        <v>50</v>
      </c>
      <c r="D10" s="9" t="s">
        <v>68</v>
      </c>
      <c r="E10" s="9"/>
      <c r="F10" s="9"/>
      <c r="G10" s="9" t="s">
        <v>52</v>
      </c>
      <c r="H10" s="9"/>
      <c r="I10" s="9"/>
      <c r="J10" s="9" t="s">
        <v>52</v>
      </c>
      <c r="K10" s="9"/>
      <c r="L10" s="9"/>
      <c r="M10" s="9" t="s">
        <v>52</v>
      </c>
      <c r="N10" s="9"/>
      <c r="O10" s="9"/>
      <c r="P10" s="17" t="s">
        <v>53</v>
      </c>
      <c r="Q10" s="17" t="s">
        <v>53</v>
      </c>
      <c r="R10" s="17" t="s">
        <v>53</v>
      </c>
      <c r="S10" s="17" t="s">
        <v>53</v>
      </c>
      <c r="T10" s="17" t="s">
        <v>53</v>
      </c>
      <c r="U10" s="20">
        <f t="shared" si="0"/>
        <v>0</v>
      </c>
      <c r="V10" s="17" t="s">
        <v>22</v>
      </c>
      <c r="W10" s="9"/>
      <c r="X10" s="14"/>
      <c r="Y10" s="9" t="s">
        <v>54</v>
      </c>
      <c r="Z10" s="10"/>
    </row>
    <row r="11" spans="1:26" ht="28">
      <c r="A11" s="23" t="s">
        <v>10</v>
      </c>
      <c r="B11" s="9" t="s">
        <v>69</v>
      </c>
      <c r="C11" s="17" t="s">
        <v>60</v>
      </c>
      <c r="D11" s="9" t="s">
        <v>70</v>
      </c>
      <c r="E11" s="9"/>
      <c r="F11" s="9"/>
      <c r="G11" s="9" t="s">
        <v>71</v>
      </c>
      <c r="H11" s="9"/>
      <c r="I11" s="9"/>
      <c r="J11" s="9" t="s">
        <v>72</v>
      </c>
      <c r="K11" s="9"/>
      <c r="L11" s="9"/>
      <c r="M11" s="9" t="s">
        <v>73</v>
      </c>
      <c r="N11" s="9"/>
      <c r="O11" s="9"/>
      <c r="P11" s="17" t="s">
        <v>53</v>
      </c>
      <c r="Q11" s="17" t="s">
        <v>53</v>
      </c>
      <c r="R11" s="17" t="s">
        <v>53</v>
      </c>
      <c r="S11" s="17" t="s">
        <v>53</v>
      </c>
      <c r="T11" s="17" t="s">
        <v>53</v>
      </c>
      <c r="U11" s="20">
        <f t="shared" si="0"/>
        <v>0</v>
      </c>
      <c r="V11" s="17" t="s">
        <v>22</v>
      </c>
      <c r="W11" s="9"/>
      <c r="X11" s="14"/>
      <c r="Y11" s="9" t="s">
        <v>54</v>
      </c>
      <c r="Z11" s="10"/>
    </row>
    <row r="12" spans="1:26" ht="28">
      <c r="A12" s="23" t="s">
        <v>10</v>
      </c>
      <c r="B12" s="9" t="s">
        <v>74</v>
      </c>
      <c r="C12" s="17" t="s">
        <v>60</v>
      </c>
      <c r="D12" s="9" t="s">
        <v>51</v>
      </c>
      <c r="E12" s="9"/>
      <c r="F12" s="9"/>
      <c r="G12" s="9" t="s">
        <v>75</v>
      </c>
      <c r="H12" s="9"/>
      <c r="I12" s="9"/>
      <c r="J12" s="9" t="s">
        <v>76</v>
      </c>
      <c r="K12" s="9"/>
      <c r="L12" s="9"/>
      <c r="M12" s="9" t="s">
        <v>77</v>
      </c>
      <c r="N12" s="9"/>
      <c r="O12" s="9"/>
      <c r="P12" s="17" t="s">
        <v>53</v>
      </c>
      <c r="Q12" s="17" t="s">
        <v>53</v>
      </c>
      <c r="R12" s="17" t="s">
        <v>53</v>
      </c>
      <c r="S12" s="17" t="s">
        <v>53</v>
      </c>
      <c r="T12" s="17" t="s">
        <v>53</v>
      </c>
      <c r="U12" s="20">
        <f t="shared" si="0"/>
        <v>0</v>
      </c>
      <c r="V12" s="17" t="s">
        <v>22</v>
      </c>
      <c r="W12" s="9"/>
      <c r="X12" s="14"/>
      <c r="Y12" s="9" t="s">
        <v>54</v>
      </c>
      <c r="Z12" s="10"/>
    </row>
    <row r="13" spans="1:26" ht="28">
      <c r="A13" s="23" t="s">
        <v>10</v>
      </c>
      <c r="B13" s="9" t="s">
        <v>78</v>
      </c>
      <c r="C13" s="17" t="s">
        <v>50</v>
      </c>
      <c r="D13" s="9" t="s">
        <v>56</v>
      </c>
      <c r="E13" s="9"/>
      <c r="F13" s="9"/>
      <c r="G13" s="9" t="s">
        <v>52</v>
      </c>
      <c r="H13" s="9"/>
      <c r="I13" s="9"/>
      <c r="J13" s="9" t="s">
        <v>52</v>
      </c>
      <c r="K13" s="9"/>
      <c r="L13" s="9"/>
      <c r="M13" s="9" t="s">
        <v>52</v>
      </c>
      <c r="N13" s="9"/>
      <c r="O13" s="9"/>
      <c r="P13" s="17" t="s">
        <v>53</v>
      </c>
      <c r="Q13" s="17" t="s">
        <v>53</v>
      </c>
      <c r="R13" s="17" t="s">
        <v>53</v>
      </c>
      <c r="S13" s="17" t="s">
        <v>53</v>
      </c>
      <c r="T13" s="17" t="s">
        <v>53</v>
      </c>
      <c r="U13" s="20">
        <f t="shared" si="0"/>
        <v>0</v>
      </c>
      <c r="V13" s="17" t="s">
        <v>22</v>
      </c>
      <c r="W13" s="9"/>
      <c r="X13" s="14"/>
      <c r="Y13" s="9" t="s">
        <v>54</v>
      </c>
      <c r="Z13" s="10"/>
    </row>
    <row r="14" spans="1:26" ht="28">
      <c r="A14" s="23" t="s">
        <v>10</v>
      </c>
      <c r="B14" s="9" t="s">
        <v>79</v>
      </c>
      <c r="C14" s="17" t="s">
        <v>50</v>
      </c>
      <c r="D14" s="9" t="s">
        <v>58</v>
      </c>
      <c r="E14" s="9"/>
      <c r="F14" s="9"/>
      <c r="G14" s="9" t="s">
        <v>52</v>
      </c>
      <c r="H14" s="9"/>
      <c r="I14" s="9"/>
      <c r="J14" s="9" t="s">
        <v>52</v>
      </c>
      <c r="K14" s="9"/>
      <c r="L14" s="9"/>
      <c r="M14" s="9" t="s">
        <v>52</v>
      </c>
      <c r="N14" s="9"/>
      <c r="O14" s="9"/>
      <c r="P14" s="17" t="s">
        <v>53</v>
      </c>
      <c r="Q14" s="17" t="s">
        <v>53</v>
      </c>
      <c r="R14" s="17" t="s">
        <v>53</v>
      </c>
      <c r="S14" s="17" t="s">
        <v>53</v>
      </c>
      <c r="T14" s="17" t="s">
        <v>53</v>
      </c>
      <c r="U14" s="20">
        <f t="shared" si="0"/>
        <v>0</v>
      </c>
      <c r="V14" s="17" t="s">
        <v>22</v>
      </c>
      <c r="W14" s="9"/>
      <c r="X14" s="14"/>
      <c r="Y14" s="9" t="s">
        <v>54</v>
      </c>
      <c r="Z14" s="10"/>
    </row>
    <row r="15" spans="1:26" ht="28">
      <c r="A15" s="23" t="s">
        <v>10</v>
      </c>
      <c r="B15" s="9" t="s">
        <v>80</v>
      </c>
      <c r="C15" s="17" t="s">
        <v>50</v>
      </c>
      <c r="D15" s="9" t="s">
        <v>61</v>
      </c>
      <c r="E15" s="9"/>
      <c r="F15" s="9"/>
      <c r="G15" s="9" t="s">
        <v>52</v>
      </c>
      <c r="H15" s="9"/>
      <c r="I15" s="9"/>
      <c r="J15" s="9" t="s">
        <v>52</v>
      </c>
      <c r="K15" s="9"/>
      <c r="L15" s="9"/>
      <c r="M15" s="9" t="s">
        <v>52</v>
      </c>
      <c r="N15" s="9"/>
      <c r="O15" s="9"/>
      <c r="P15" s="17" t="s">
        <v>53</v>
      </c>
      <c r="Q15" s="17" t="s">
        <v>53</v>
      </c>
      <c r="R15" s="17" t="s">
        <v>53</v>
      </c>
      <c r="S15" s="17" t="s">
        <v>53</v>
      </c>
      <c r="T15" s="17" t="s">
        <v>53</v>
      </c>
      <c r="U15" s="20">
        <f t="shared" si="0"/>
        <v>0</v>
      </c>
      <c r="V15" s="17" t="s">
        <v>22</v>
      </c>
      <c r="W15" s="9"/>
      <c r="X15" s="14"/>
      <c r="Y15" s="9" t="s">
        <v>54</v>
      </c>
      <c r="Z15" s="10"/>
    </row>
    <row r="16" spans="1:26" ht="28">
      <c r="A16" s="23" t="s">
        <v>10</v>
      </c>
      <c r="B16" s="9" t="s">
        <v>81</v>
      </c>
      <c r="C16" s="17" t="s">
        <v>60</v>
      </c>
      <c r="D16" s="9" t="s">
        <v>66</v>
      </c>
      <c r="E16" s="9"/>
      <c r="F16" s="9"/>
      <c r="G16" s="9" t="s">
        <v>82</v>
      </c>
      <c r="H16" s="9"/>
      <c r="I16" s="9"/>
      <c r="J16" s="9" t="s">
        <v>83</v>
      </c>
      <c r="K16" s="9"/>
      <c r="L16" s="9"/>
      <c r="M16" s="9" t="s">
        <v>84</v>
      </c>
      <c r="N16" s="9"/>
      <c r="O16" s="9"/>
      <c r="P16" s="17" t="s">
        <v>53</v>
      </c>
      <c r="Q16" s="17" t="s">
        <v>53</v>
      </c>
      <c r="R16" s="17" t="s">
        <v>53</v>
      </c>
      <c r="S16" s="17" t="s">
        <v>53</v>
      </c>
      <c r="T16" s="17" t="s">
        <v>53</v>
      </c>
      <c r="U16" s="20">
        <f t="shared" si="0"/>
        <v>0</v>
      </c>
      <c r="V16" s="17" t="s">
        <v>22</v>
      </c>
      <c r="W16" s="9"/>
      <c r="X16" s="14"/>
      <c r="Y16" s="9" t="s">
        <v>54</v>
      </c>
      <c r="Z16" s="10"/>
    </row>
    <row r="17" spans="1:26" ht="28">
      <c r="A17" s="23" t="s">
        <v>10</v>
      </c>
      <c r="B17" s="9" t="s">
        <v>85</v>
      </c>
      <c r="C17" s="17" t="s">
        <v>50</v>
      </c>
      <c r="D17" s="9" t="s">
        <v>68</v>
      </c>
      <c r="E17" s="9"/>
      <c r="F17" s="9"/>
      <c r="G17" s="9" t="s">
        <v>52</v>
      </c>
      <c r="H17" s="9"/>
      <c r="I17" s="9"/>
      <c r="J17" s="9" t="s">
        <v>52</v>
      </c>
      <c r="K17" s="9"/>
      <c r="L17" s="9"/>
      <c r="M17" s="9" t="s">
        <v>52</v>
      </c>
      <c r="N17" s="9"/>
      <c r="O17" s="9"/>
      <c r="P17" s="17" t="s">
        <v>53</v>
      </c>
      <c r="Q17" s="17" t="s">
        <v>53</v>
      </c>
      <c r="R17" s="17" t="s">
        <v>53</v>
      </c>
      <c r="S17" s="17" t="s">
        <v>53</v>
      </c>
      <c r="T17" s="17" t="s">
        <v>53</v>
      </c>
      <c r="U17" s="20">
        <f t="shared" si="0"/>
        <v>0</v>
      </c>
      <c r="V17" s="17" t="s">
        <v>22</v>
      </c>
      <c r="W17" s="9"/>
      <c r="X17" s="14"/>
      <c r="Y17" s="9" t="s">
        <v>54</v>
      </c>
      <c r="Z17" s="10"/>
    </row>
    <row r="18" spans="1:26" ht="28">
      <c r="A18" s="23" t="s">
        <v>10</v>
      </c>
      <c r="B18" s="9" t="s">
        <v>86</v>
      </c>
      <c r="C18" s="17" t="s">
        <v>60</v>
      </c>
      <c r="D18" s="9" t="s">
        <v>70</v>
      </c>
      <c r="E18" s="9"/>
      <c r="F18" s="9"/>
      <c r="G18" s="9" t="s">
        <v>87</v>
      </c>
      <c r="H18" s="9"/>
      <c r="I18" s="9"/>
      <c r="J18" s="9" t="s">
        <v>88</v>
      </c>
      <c r="K18" s="9"/>
      <c r="L18" s="9"/>
      <c r="M18" s="9" t="s">
        <v>89</v>
      </c>
      <c r="N18" s="9"/>
      <c r="O18" s="9"/>
      <c r="P18" s="17" t="s">
        <v>53</v>
      </c>
      <c r="Q18" s="17" t="s">
        <v>53</v>
      </c>
      <c r="R18" s="17" t="s">
        <v>53</v>
      </c>
      <c r="S18" s="17" t="s">
        <v>53</v>
      </c>
      <c r="T18" s="17" t="s">
        <v>53</v>
      </c>
      <c r="U18" s="20">
        <f t="shared" si="0"/>
        <v>0</v>
      </c>
      <c r="V18" s="17" t="s">
        <v>22</v>
      </c>
      <c r="W18" s="9"/>
      <c r="X18" s="14"/>
      <c r="Y18" s="9" t="s">
        <v>54</v>
      </c>
      <c r="Z18" s="10"/>
    </row>
    <row r="19" spans="1:26" ht="28">
      <c r="A19" s="23" t="s">
        <v>10</v>
      </c>
      <c r="B19" s="9" t="s">
        <v>90</v>
      </c>
      <c r="C19" s="17" t="s">
        <v>50</v>
      </c>
      <c r="D19" s="9" t="s">
        <v>51</v>
      </c>
      <c r="E19" s="9"/>
      <c r="F19" s="9"/>
      <c r="G19" s="9" t="s">
        <v>52</v>
      </c>
      <c r="H19" s="9"/>
      <c r="I19" s="9"/>
      <c r="J19" s="9" t="s">
        <v>52</v>
      </c>
      <c r="K19" s="9"/>
      <c r="L19" s="9"/>
      <c r="M19" s="9" t="s">
        <v>52</v>
      </c>
      <c r="N19" s="9"/>
      <c r="O19" s="9"/>
      <c r="P19" s="17" t="s">
        <v>53</v>
      </c>
      <c r="Q19" s="17" t="s">
        <v>53</v>
      </c>
      <c r="R19" s="17" t="s">
        <v>53</v>
      </c>
      <c r="S19" s="17" t="s">
        <v>53</v>
      </c>
      <c r="T19" s="17" t="s">
        <v>53</v>
      </c>
      <c r="U19" s="20">
        <f t="shared" si="0"/>
        <v>0</v>
      </c>
      <c r="V19" s="17" t="s">
        <v>22</v>
      </c>
      <c r="W19" s="9"/>
      <c r="X19" s="14"/>
      <c r="Y19" s="9" t="s">
        <v>54</v>
      </c>
      <c r="Z19" s="10"/>
    </row>
    <row r="20" spans="1:26" ht="28">
      <c r="A20" s="23" t="s">
        <v>10</v>
      </c>
      <c r="B20" s="9" t="s">
        <v>91</v>
      </c>
      <c r="C20" s="17" t="s">
        <v>60</v>
      </c>
      <c r="D20" s="9" t="s">
        <v>56</v>
      </c>
      <c r="E20" s="9"/>
      <c r="F20" s="9"/>
      <c r="G20" s="9" t="s">
        <v>92</v>
      </c>
      <c r="H20" s="9"/>
      <c r="I20" s="9"/>
      <c r="J20" s="9" t="s">
        <v>93</v>
      </c>
      <c r="K20" s="9"/>
      <c r="L20" s="9"/>
      <c r="M20" s="9" t="s">
        <v>94</v>
      </c>
      <c r="N20" s="9"/>
      <c r="O20" s="9"/>
      <c r="P20" s="17" t="s">
        <v>53</v>
      </c>
      <c r="Q20" s="17" t="s">
        <v>53</v>
      </c>
      <c r="R20" s="17" t="s">
        <v>53</v>
      </c>
      <c r="S20" s="17" t="s">
        <v>53</v>
      </c>
      <c r="T20" s="17" t="s">
        <v>53</v>
      </c>
      <c r="U20" s="20">
        <f t="shared" si="0"/>
        <v>0</v>
      </c>
      <c r="V20" s="17" t="s">
        <v>22</v>
      </c>
      <c r="W20" s="9"/>
      <c r="X20" s="14"/>
      <c r="Y20" s="9" t="s">
        <v>54</v>
      </c>
      <c r="Z20" s="10"/>
    </row>
    <row r="21" spans="1:26" ht="28">
      <c r="A21" s="23" t="s">
        <v>10</v>
      </c>
      <c r="B21" s="9" t="s">
        <v>95</v>
      </c>
      <c r="C21" s="17" t="s">
        <v>50</v>
      </c>
      <c r="D21" s="9" t="s">
        <v>58</v>
      </c>
      <c r="E21" s="9"/>
      <c r="F21" s="9"/>
      <c r="G21" s="9" t="s">
        <v>52</v>
      </c>
      <c r="H21" s="9"/>
      <c r="I21" s="9"/>
      <c r="J21" s="9" t="s">
        <v>52</v>
      </c>
      <c r="K21" s="9"/>
      <c r="L21" s="9"/>
      <c r="M21" s="9" t="s">
        <v>52</v>
      </c>
      <c r="N21" s="9"/>
      <c r="O21" s="9"/>
      <c r="P21" s="17" t="s">
        <v>53</v>
      </c>
      <c r="Q21" s="17" t="s">
        <v>53</v>
      </c>
      <c r="R21" s="17" t="s">
        <v>53</v>
      </c>
      <c r="S21" s="17" t="s">
        <v>53</v>
      </c>
      <c r="T21" s="17" t="s">
        <v>53</v>
      </c>
      <c r="U21" s="20">
        <f t="shared" si="0"/>
        <v>0</v>
      </c>
      <c r="V21" s="17" t="s">
        <v>22</v>
      </c>
      <c r="W21" s="9"/>
      <c r="X21" s="14"/>
      <c r="Y21" s="9" t="s">
        <v>54</v>
      </c>
      <c r="Z21" s="10"/>
    </row>
    <row r="22" spans="1:26" ht="28">
      <c r="A22" s="24" t="s">
        <v>11</v>
      </c>
      <c r="B22" s="9" t="s">
        <v>96</v>
      </c>
      <c r="C22" s="17" t="s">
        <v>50</v>
      </c>
      <c r="D22" s="9" t="s">
        <v>51</v>
      </c>
      <c r="E22" s="9"/>
      <c r="F22" s="9"/>
      <c r="G22" s="9" t="s">
        <v>52</v>
      </c>
      <c r="H22" s="9"/>
      <c r="I22" s="9"/>
      <c r="J22" s="9" t="s">
        <v>52</v>
      </c>
      <c r="K22" s="9"/>
      <c r="L22" s="9"/>
      <c r="M22" s="9" t="s">
        <v>52</v>
      </c>
      <c r="N22" s="9"/>
      <c r="O22" s="9"/>
      <c r="P22" s="17" t="s">
        <v>53</v>
      </c>
      <c r="Q22" s="17" t="s">
        <v>53</v>
      </c>
      <c r="R22" s="17" t="s">
        <v>53</v>
      </c>
      <c r="S22" s="17" t="s">
        <v>53</v>
      </c>
      <c r="T22" s="17" t="s">
        <v>53</v>
      </c>
      <c r="U22" s="20">
        <f t="shared" si="0"/>
        <v>0</v>
      </c>
      <c r="V22" s="17" t="s">
        <v>22</v>
      </c>
      <c r="W22" s="9"/>
      <c r="X22" s="14"/>
      <c r="Y22" s="9" t="s">
        <v>54</v>
      </c>
      <c r="Z22" s="10"/>
    </row>
    <row r="23" spans="1:26" ht="28">
      <c r="A23" s="24" t="s">
        <v>11</v>
      </c>
      <c r="B23" s="9" t="s">
        <v>97</v>
      </c>
      <c r="C23" s="17" t="s">
        <v>50</v>
      </c>
      <c r="D23" s="9" t="s">
        <v>56</v>
      </c>
      <c r="E23" s="9"/>
      <c r="F23" s="9"/>
      <c r="G23" s="9" t="s">
        <v>52</v>
      </c>
      <c r="H23" s="9"/>
      <c r="I23" s="9"/>
      <c r="J23" s="9" t="s">
        <v>52</v>
      </c>
      <c r="K23" s="9"/>
      <c r="L23" s="9"/>
      <c r="M23" s="9" t="s">
        <v>52</v>
      </c>
      <c r="N23" s="9"/>
      <c r="O23" s="9"/>
      <c r="P23" s="17" t="s">
        <v>53</v>
      </c>
      <c r="Q23" s="17" t="s">
        <v>53</v>
      </c>
      <c r="R23" s="17" t="s">
        <v>53</v>
      </c>
      <c r="S23" s="17" t="s">
        <v>53</v>
      </c>
      <c r="T23" s="17" t="s">
        <v>53</v>
      </c>
      <c r="U23" s="20">
        <f t="shared" si="0"/>
        <v>0</v>
      </c>
      <c r="V23" s="17" t="s">
        <v>22</v>
      </c>
      <c r="W23" s="9"/>
      <c r="X23" s="14"/>
      <c r="Y23" s="9" t="s">
        <v>54</v>
      </c>
      <c r="Z23" s="10"/>
    </row>
    <row r="24" spans="1:26" ht="28">
      <c r="A24" s="24" t="s">
        <v>11</v>
      </c>
      <c r="B24" s="9" t="s">
        <v>98</v>
      </c>
      <c r="C24" s="17" t="s">
        <v>50</v>
      </c>
      <c r="D24" s="9" t="s">
        <v>58</v>
      </c>
      <c r="E24" s="9"/>
      <c r="F24" s="9"/>
      <c r="G24" s="9" t="s">
        <v>52</v>
      </c>
      <c r="H24" s="9"/>
      <c r="I24" s="9"/>
      <c r="J24" s="9" t="s">
        <v>52</v>
      </c>
      <c r="K24" s="9"/>
      <c r="L24" s="9"/>
      <c r="M24" s="9" t="s">
        <v>52</v>
      </c>
      <c r="N24" s="9"/>
      <c r="O24" s="9"/>
      <c r="P24" s="17" t="s">
        <v>53</v>
      </c>
      <c r="Q24" s="17" t="s">
        <v>53</v>
      </c>
      <c r="R24" s="17" t="s">
        <v>53</v>
      </c>
      <c r="S24" s="17" t="s">
        <v>53</v>
      </c>
      <c r="T24" s="17" t="s">
        <v>53</v>
      </c>
      <c r="U24" s="20">
        <f t="shared" si="0"/>
        <v>0</v>
      </c>
      <c r="V24" s="17" t="s">
        <v>22</v>
      </c>
      <c r="W24" s="9"/>
      <c r="X24" s="14"/>
      <c r="Y24" s="9" t="s">
        <v>54</v>
      </c>
      <c r="Z24" s="10"/>
    </row>
    <row r="25" spans="1:26" ht="28">
      <c r="A25" s="24" t="s">
        <v>11</v>
      </c>
      <c r="B25" s="9" t="s">
        <v>99</v>
      </c>
      <c r="C25" s="17" t="s">
        <v>60</v>
      </c>
      <c r="D25" s="9" t="s">
        <v>61</v>
      </c>
      <c r="E25" s="9"/>
      <c r="F25" s="9"/>
      <c r="G25" s="9" t="s">
        <v>100</v>
      </c>
      <c r="H25" s="9"/>
      <c r="I25" s="9"/>
      <c r="J25" s="9" t="s">
        <v>101</v>
      </c>
      <c r="K25" s="9"/>
      <c r="L25" s="9"/>
      <c r="M25" s="9" t="s">
        <v>102</v>
      </c>
      <c r="N25" s="9"/>
      <c r="O25" s="9"/>
      <c r="P25" s="17" t="s">
        <v>53</v>
      </c>
      <c r="Q25" s="17" t="s">
        <v>53</v>
      </c>
      <c r="R25" s="17" t="s">
        <v>53</v>
      </c>
      <c r="S25" s="17" t="s">
        <v>53</v>
      </c>
      <c r="T25" s="17" t="s">
        <v>53</v>
      </c>
      <c r="U25" s="20">
        <f t="shared" si="0"/>
        <v>0</v>
      </c>
      <c r="V25" s="17" t="s">
        <v>22</v>
      </c>
      <c r="W25" s="9"/>
      <c r="X25" s="14"/>
      <c r="Y25" s="9" t="s">
        <v>54</v>
      </c>
      <c r="Z25" s="10"/>
    </row>
    <row r="26" spans="1:26" ht="28">
      <c r="A26" s="24" t="s">
        <v>11</v>
      </c>
      <c r="B26" s="9" t="s">
        <v>103</v>
      </c>
      <c r="C26" s="17" t="s">
        <v>50</v>
      </c>
      <c r="D26" s="9" t="s">
        <v>66</v>
      </c>
      <c r="E26" s="9"/>
      <c r="F26" s="9"/>
      <c r="G26" s="9" t="s">
        <v>52</v>
      </c>
      <c r="H26" s="9"/>
      <c r="I26" s="9"/>
      <c r="J26" s="9" t="s">
        <v>52</v>
      </c>
      <c r="K26" s="9"/>
      <c r="L26" s="9"/>
      <c r="M26" s="9" t="s">
        <v>52</v>
      </c>
      <c r="N26" s="9"/>
      <c r="O26" s="9"/>
      <c r="P26" s="17" t="s">
        <v>53</v>
      </c>
      <c r="Q26" s="17" t="s">
        <v>53</v>
      </c>
      <c r="R26" s="17" t="s">
        <v>53</v>
      </c>
      <c r="S26" s="17" t="s">
        <v>53</v>
      </c>
      <c r="T26" s="17" t="s">
        <v>53</v>
      </c>
      <c r="U26" s="20">
        <f t="shared" si="0"/>
        <v>0</v>
      </c>
      <c r="V26" s="17" t="s">
        <v>22</v>
      </c>
      <c r="W26" s="9"/>
      <c r="X26" s="14"/>
      <c r="Y26" s="9" t="s">
        <v>54</v>
      </c>
      <c r="Z26" s="10"/>
    </row>
    <row r="27" spans="1:26" ht="28">
      <c r="A27" s="24" t="s">
        <v>11</v>
      </c>
      <c r="B27" s="9" t="s">
        <v>104</v>
      </c>
      <c r="C27" s="17" t="s">
        <v>50</v>
      </c>
      <c r="D27" s="9" t="s">
        <v>68</v>
      </c>
      <c r="E27" s="9"/>
      <c r="F27" s="9"/>
      <c r="G27" s="9" t="s">
        <v>52</v>
      </c>
      <c r="H27" s="9"/>
      <c r="I27" s="9"/>
      <c r="J27" s="9" t="s">
        <v>52</v>
      </c>
      <c r="K27" s="9"/>
      <c r="L27" s="9"/>
      <c r="M27" s="9" t="s">
        <v>52</v>
      </c>
      <c r="N27" s="9"/>
      <c r="O27" s="9"/>
      <c r="P27" s="17" t="s">
        <v>53</v>
      </c>
      <c r="Q27" s="17" t="s">
        <v>53</v>
      </c>
      <c r="R27" s="17" t="s">
        <v>53</v>
      </c>
      <c r="S27" s="17" t="s">
        <v>53</v>
      </c>
      <c r="T27" s="17" t="s">
        <v>53</v>
      </c>
      <c r="U27" s="20">
        <f t="shared" si="0"/>
        <v>0</v>
      </c>
      <c r="V27" s="17" t="s">
        <v>22</v>
      </c>
      <c r="W27" s="9"/>
      <c r="X27" s="14"/>
      <c r="Y27" s="9" t="s">
        <v>54</v>
      </c>
      <c r="Z27" s="10"/>
    </row>
    <row r="28" spans="1:26" ht="28">
      <c r="A28" s="24" t="s">
        <v>11</v>
      </c>
      <c r="B28" s="9" t="s">
        <v>105</v>
      </c>
      <c r="C28" s="17" t="s">
        <v>60</v>
      </c>
      <c r="D28" s="9" t="s">
        <v>70</v>
      </c>
      <c r="E28" s="9"/>
      <c r="F28" s="9"/>
      <c r="G28" s="9" t="s">
        <v>106</v>
      </c>
      <c r="H28" s="9"/>
      <c r="I28" s="9"/>
      <c r="J28" s="9" t="s">
        <v>107</v>
      </c>
      <c r="K28" s="9"/>
      <c r="L28" s="9"/>
      <c r="M28" s="9" t="s">
        <v>108</v>
      </c>
      <c r="N28" s="9"/>
      <c r="O28" s="9"/>
      <c r="P28" s="17" t="s">
        <v>53</v>
      </c>
      <c r="Q28" s="17" t="s">
        <v>53</v>
      </c>
      <c r="R28" s="17" t="s">
        <v>53</v>
      </c>
      <c r="S28" s="17" t="s">
        <v>53</v>
      </c>
      <c r="T28" s="17" t="s">
        <v>53</v>
      </c>
      <c r="U28" s="20">
        <f t="shared" si="0"/>
        <v>0</v>
      </c>
      <c r="V28" s="17" t="s">
        <v>22</v>
      </c>
      <c r="W28" s="9"/>
      <c r="X28" s="14"/>
      <c r="Y28" s="9" t="s">
        <v>54</v>
      </c>
      <c r="Z28" s="10"/>
    </row>
    <row r="29" spans="1:26" ht="28">
      <c r="A29" s="24" t="s">
        <v>11</v>
      </c>
      <c r="B29" s="9" t="s">
        <v>109</v>
      </c>
      <c r="C29" s="17" t="s">
        <v>60</v>
      </c>
      <c r="D29" s="9" t="s">
        <v>51</v>
      </c>
      <c r="E29" s="9"/>
      <c r="F29" s="9"/>
      <c r="G29" s="9" t="s">
        <v>110</v>
      </c>
      <c r="H29" s="9"/>
      <c r="I29" s="9"/>
      <c r="J29" s="9" t="s">
        <v>111</v>
      </c>
      <c r="K29" s="9"/>
      <c r="L29" s="9"/>
      <c r="M29" s="9" t="s">
        <v>112</v>
      </c>
      <c r="N29" s="9"/>
      <c r="O29" s="9"/>
      <c r="P29" s="17" t="s">
        <v>53</v>
      </c>
      <c r="Q29" s="17" t="s">
        <v>53</v>
      </c>
      <c r="R29" s="17" t="s">
        <v>53</v>
      </c>
      <c r="S29" s="17" t="s">
        <v>53</v>
      </c>
      <c r="T29" s="17" t="s">
        <v>53</v>
      </c>
      <c r="U29" s="20">
        <f t="shared" si="0"/>
        <v>0</v>
      </c>
      <c r="V29" s="17" t="s">
        <v>22</v>
      </c>
      <c r="W29" s="9"/>
      <c r="X29" s="14"/>
      <c r="Y29" s="9" t="s">
        <v>54</v>
      </c>
      <c r="Z29" s="10"/>
    </row>
    <row r="30" spans="1:26" ht="28">
      <c r="A30" s="24" t="s">
        <v>11</v>
      </c>
      <c r="B30" s="9" t="s">
        <v>113</v>
      </c>
      <c r="C30" s="17" t="s">
        <v>50</v>
      </c>
      <c r="D30" s="9" t="s">
        <v>56</v>
      </c>
      <c r="E30" s="9"/>
      <c r="F30" s="9"/>
      <c r="G30" s="9" t="s">
        <v>52</v>
      </c>
      <c r="H30" s="9"/>
      <c r="I30" s="9"/>
      <c r="J30" s="9" t="s">
        <v>52</v>
      </c>
      <c r="K30" s="9"/>
      <c r="L30" s="9"/>
      <c r="M30" s="9" t="s">
        <v>52</v>
      </c>
      <c r="N30" s="9"/>
      <c r="O30" s="9"/>
      <c r="P30" s="17" t="s">
        <v>53</v>
      </c>
      <c r="Q30" s="17" t="s">
        <v>53</v>
      </c>
      <c r="R30" s="17" t="s">
        <v>53</v>
      </c>
      <c r="S30" s="17" t="s">
        <v>53</v>
      </c>
      <c r="T30" s="17" t="s">
        <v>53</v>
      </c>
      <c r="U30" s="20">
        <f t="shared" si="0"/>
        <v>0</v>
      </c>
      <c r="V30" s="17" t="s">
        <v>22</v>
      </c>
      <c r="W30" s="9"/>
      <c r="X30" s="14"/>
      <c r="Y30" s="9" t="s">
        <v>54</v>
      </c>
      <c r="Z30" s="10"/>
    </row>
    <row r="31" spans="1:26" ht="28">
      <c r="A31" s="24" t="s">
        <v>11</v>
      </c>
      <c r="B31" s="9" t="s">
        <v>114</v>
      </c>
      <c r="C31" s="17" t="s">
        <v>50</v>
      </c>
      <c r="D31" s="9" t="s">
        <v>58</v>
      </c>
      <c r="E31" s="9"/>
      <c r="F31" s="9"/>
      <c r="G31" s="9" t="s">
        <v>52</v>
      </c>
      <c r="H31" s="9"/>
      <c r="I31" s="9"/>
      <c r="J31" s="9" t="s">
        <v>52</v>
      </c>
      <c r="K31" s="9"/>
      <c r="L31" s="9"/>
      <c r="M31" s="9" t="s">
        <v>52</v>
      </c>
      <c r="N31" s="9"/>
      <c r="O31" s="9"/>
      <c r="P31" s="17" t="s">
        <v>53</v>
      </c>
      <c r="Q31" s="17" t="s">
        <v>53</v>
      </c>
      <c r="R31" s="17" t="s">
        <v>53</v>
      </c>
      <c r="S31" s="17" t="s">
        <v>53</v>
      </c>
      <c r="T31" s="17" t="s">
        <v>53</v>
      </c>
      <c r="U31" s="20">
        <f t="shared" si="0"/>
        <v>0</v>
      </c>
      <c r="V31" s="17" t="s">
        <v>22</v>
      </c>
      <c r="W31" s="9"/>
      <c r="X31" s="14"/>
      <c r="Y31" s="9" t="s">
        <v>54</v>
      </c>
      <c r="Z31" s="10"/>
    </row>
    <row r="32" spans="1:26" ht="28">
      <c r="A32" s="24" t="s">
        <v>11</v>
      </c>
      <c r="B32" s="9" t="s">
        <v>115</v>
      </c>
      <c r="C32" s="17" t="s">
        <v>50</v>
      </c>
      <c r="D32" s="9" t="s">
        <v>61</v>
      </c>
      <c r="E32" s="9"/>
      <c r="F32" s="9"/>
      <c r="G32" s="9" t="s">
        <v>52</v>
      </c>
      <c r="H32" s="9"/>
      <c r="I32" s="9"/>
      <c r="J32" s="9" t="s">
        <v>52</v>
      </c>
      <c r="K32" s="9"/>
      <c r="L32" s="9"/>
      <c r="M32" s="9" t="s">
        <v>52</v>
      </c>
      <c r="N32" s="9"/>
      <c r="O32" s="9"/>
      <c r="P32" s="17" t="s">
        <v>53</v>
      </c>
      <c r="Q32" s="17" t="s">
        <v>53</v>
      </c>
      <c r="R32" s="17" t="s">
        <v>53</v>
      </c>
      <c r="S32" s="17" t="s">
        <v>53</v>
      </c>
      <c r="T32" s="17" t="s">
        <v>53</v>
      </c>
      <c r="U32" s="20">
        <f t="shared" si="0"/>
        <v>0</v>
      </c>
      <c r="V32" s="17" t="s">
        <v>22</v>
      </c>
      <c r="W32" s="9"/>
      <c r="X32" s="14"/>
      <c r="Y32" s="9" t="s">
        <v>54</v>
      </c>
      <c r="Z32" s="10"/>
    </row>
    <row r="33" spans="1:26" ht="28">
      <c r="A33" s="24" t="s">
        <v>11</v>
      </c>
      <c r="B33" s="9" t="s">
        <v>116</v>
      </c>
      <c r="C33" s="17" t="s">
        <v>60</v>
      </c>
      <c r="D33" s="9" t="s">
        <v>66</v>
      </c>
      <c r="E33" s="9"/>
      <c r="F33" s="9"/>
      <c r="G33" s="9" t="s">
        <v>117</v>
      </c>
      <c r="H33" s="9"/>
      <c r="I33" s="9"/>
      <c r="J33" s="9" t="s">
        <v>118</v>
      </c>
      <c r="K33" s="9"/>
      <c r="L33" s="9"/>
      <c r="M33" s="9" t="s">
        <v>119</v>
      </c>
      <c r="N33" s="9"/>
      <c r="O33" s="9"/>
      <c r="P33" s="17" t="s">
        <v>53</v>
      </c>
      <c r="Q33" s="17" t="s">
        <v>53</v>
      </c>
      <c r="R33" s="17" t="s">
        <v>53</v>
      </c>
      <c r="S33" s="17" t="s">
        <v>53</v>
      </c>
      <c r="T33" s="17" t="s">
        <v>53</v>
      </c>
      <c r="U33" s="20">
        <f t="shared" si="0"/>
        <v>0</v>
      </c>
      <c r="V33" s="17" t="s">
        <v>22</v>
      </c>
      <c r="W33" s="9"/>
      <c r="X33" s="14"/>
      <c r="Y33" s="9" t="s">
        <v>54</v>
      </c>
      <c r="Z33" s="10"/>
    </row>
    <row r="34" spans="1:26" ht="28">
      <c r="A34" s="24" t="s">
        <v>11</v>
      </c>
      <c r="B34" s="9" t="s">
        <v>120</v>
      </c>
      <c r="C34" s="17" t="s">
        <v>50</v>
      </c>
      <c r="D34" s="9" t="s">
        <v>68</v>
      </c>
      <c r="E34" s="9"/>
      <c r="F34" s="9"/>
      <c r="G34" s="9" t="s">
        <v>52</v>
      </c>
      <c r="H34" s="9"/>
      <c r="I34" s="9"/>
      <c r="J34" s="9" t="s">
        <v>52</v>
      </c>
      <c r="K34" s="9"/>
      <c r="L34" s="9"/>
      <c r="M34" s="9" t="s">
        <v>52</v>
      </c>
      <c r="N34" s="9"/>
      <c r="O34" s="9"/>
      <c r="P34" s="17" t="s">
        <v>53</v>
      </c>
      <c r="Q34" s="17" t="s">
        <v>53</v>
      </c>
      <c r="R34" s="17" t="s">
        <v>53</v>
      </c>
      <c r="S34" s="17" t="s">
        <v>53</v>
      </c>
      <c r="T34" s="17" t="s">
        <v>53</v>
      </c>
      <c r="U34" s="20">
        <f t="shared" si="0"/>
        <v>0</v>
      </c>
      <c r="V34" s="17" t="s">
        <v>22</v>
      </c>
      <c r="W34" s="9"/>
      <c r="X34" s="14"/>
      <c r="Y34" s="9" t="s">
        <v>54</v>
      </c>
      <c r="Z34" s="10"/>
    </row>
    <row r="35" spans="1:26" ht="28">
      <c r="A35" s="24" t="s">
        <v>11</v>
      </c>
      <c r="B35" s="9" t="s">
        <v>121</v>
      </c>
      <c r="C35" s="17" t="s">
        <v>60</v>
      </c>
      <c r="D35" s="9" t="s">
        <v>70</v>
      </c>
      <c r="E35" s="9"/>
      <c r="F35" s="9"/>
      <c r="G35" s="9" t="s">
        <v>122</v>
      </c>
      <c r="H35" s="9"/>
      <c r="I35" s="9"/>
      <c r="J35" s="9" t="s">
        <v>123</v>
      </c>
      <c r="K35" s="9"/>
      <c r="L35" s="9"/>
      <c r="M35" s="9" t="s">
        <v>124</v>
      </c>
      <c r="N35" s="9"/>
      <c r="O35" s="9"/>
      <c r="P35" s="17" t="s">
        <v>53</v>
      </c>
      <c r="Q35" s="17" t="s">
        <v>53</v>
      </c>
      <c r="R35" s="17" t="s">
        <v>53</v>
      </c>
      <c r="S35" s="17" t="s">
        <v>53</v>
      </c>
      <c r="T35" s="17" t="s">
        <v>53</v>
      </c>
      <c r="U35" s="20">
        <f t="shared" si="0"/>
        <v>0</v>
      </c>
      <c r="V35" s="17" t="s">
        <v>22</v>
      </c>
      <c r="W35" s="9"/>
      <c r="X35" s="14"/>
      <c r="Y35" s="9" t="s">
        <v>54</v>
      </c>
      <c r="Z35" s="10"/>
    </row>
    <row r="36" spans="1:26" ht="28">
      <c r="A36" s="24" t="s">
        <v>11</v>
      </c>
      <c r="B36" s="9" t="s">
        <v>125</v>
      </c>
      <c r="C36" s="17" t="s">
        <v>50</v>
      </c>
      <c r="D36" s="9" t="s">
        <v>51</v>
      </c>
      <c r="E36" s="9"/>
      <c r="F36" s="9"/>
      <c r="G36" s="9" t="s">
        <v>52</v>
      </c>
      <c r="H36" s="9"/>
      <c r="I36" s="9"/>
      <c r="J36" s="9" t="s">
        <v>52</v>
      </c>
      <c r="K36" s="9"/>
      <c r="L36" s="9"/>
      <c r="M36" s="9" t="s">
        <v>52</v>
      </c>
      <c r="N36" s="9"/>
      <c r="O36" s="9"/>
      <c r="P36" s="17" t="s">
        <v>53</v>
      </c>
      <c r="Q36" s="17" t="s">
        <v>53</v>
      </c>
      <c r="R36" s="17" t="s">
        <v>53</v>
      </c>
      <c r="S36" s="17" t="s">
        <v>53</v>
      </c>
      <c r="T36" s="17" t="s">
        <v>53</v>
      </c>
      <c r="U36" s="20">
        <f t="shared" si="0"/>
        <v>0</v>
      </c>
      <c r="V36" s="17" t="s">
        <v>22</v>
      </c>
      <c r="W36" s="9"/>
      <c r="X36" s="14"/>
      <c r="Y36" s="9" t="s">
        <v>54</v>
      </c>
      <c r="Z36" s="10"/>
    </row>
    <row r="37" spans="1:26" ht="28">
      <c r="A37" s="24" t="s">
        <v>11</v>
      </c>
      <c r="B37" s="9" t="s">
        <v>126</v>
      </c>
      <c r="C37" s="17" t="s">
        <v>60</v>
      </c>
      <c r="D37" s="9" t="s">
        <v>56</v>
      </c>
      <c r="E37" s="9"/>
      <c r="F37" s="9"/>
      <c r="G37" s="9" t="s">
        <v>127</v>
      </c>
      <c r="H37" s="9"/>
      <c r="I37" s="9"/>
      <c r="J37" s="9" t="s">
        <v>128</v>
      </c>
      <c r="K37" s="9"/>
      <c r="L37" s="9"/>
      <c r="M37" s="9" t="s">
        <v>129</v>
      </c>
      <c r="N37" s="9"/>
      <c r="O37" s="9"/>
      <c r="P37" s="17" t="s">
        <v>53</v>
      </c>
      <c r="Q37" s="17" t="s">
        <v>53</v>
      </c>
      <c r="R37" s="17" t="s">
        <v>53</v>
      </c>
      <c r="S37" s="17" t="s">
        <v>53</v>
      </c>
      <c r="T37" s="17" t="s">
        <v>53</v>
      </c>
      <c r="U37" s="20">
        <f t="shared" ref="U37:U68" si="1">IFERROR(COUNTIF(P37:T37,"Yes")/(COUNTIF(P37:T37,"Yes")+COUNTIF(P37:T37,"No")),0)</f>
        <v>0</v>
      </c>
      <c r="V37" s="17" t="s">
        <v>22</v>
      </c>
      <c r="W37" s="9"/>
      <c r="X37" s="14"/>
      <c r="Y37" s="9" t="s">
        <v>54</v>
      </c>
      <c r="Z37" s="10"/>
    </row>
    <row r="38" spans="1:26" ht="28">
      <c r="A38" s="24" t="s">
        <v>11</v>
      </c>
      <c r="B38" s="9" t="s">
        <v>130</v>
      </c>
      <c r="C38" s="17" t="s">
        <v>50</v>
      </c>
      <c r="D38" s="9" t="s">
        <v>58</v>
      </c>
      <c r="E38" s="9"/>
      <c r="F38" s="9"/>
      <c r="G38" s="9" t="s">
        <v>52</v>
      </c>
      <c r="H38" s="9"/>
      <c r="I38" s="9"/>
      <c r="J38" s="9" t="s">
        <v>52</v>
      </c>
      <c r="K38" s="9"/>
      <c r="L38" s="9"/>
      <c r="M38" s="9" t="s">
        <v>52</v>
      </c>
      <c r="N38" s="9"/>
      <c r="O38" s="9"/>
      <c r="P38" s="17" t="s">
        <v>53</v>
      </c>
      <c r="Q38" s="17" t="s">
        <v>53</v>
      </c>
      <c r="R38" s="17" t="s">
        <v>53</v>
      </c>
      <c r="S38" s="17" t="s">
        <v>53</v>
      </c>
      <c r="T38" s="17" t="s">
        <v>53</v>
      </c>
      <c r="U38" s="20">
        <f t="shared" si="1"/>
        <v>0</v>
      </c>
      <c r="V38" s="17" t="s">
        <v>22</v>
      </c>
      <c r="W38" s="9"/>
      <c r="X38" s="14"/>
      <c r="Y38" s="9" t="s">
        <v>54</v>
      </c>
      <c r="Z38" s="10"/>
    </row>
    <row r="39" spans="1:26" ht="28">
      <c r="A39" s="25" t="s">
        <v>13</v>
      </c>
      <c r="B39" s="9" t="s">
        <v>131</v>
      </c>
      <c r="C39" s="17" t="s">
        <v>50</v>
      </c>
      <c r="D39" s="9" t="s">
        <v>51</v>
      </c>
      <c r="E39" s="9"/>
      <c r="F39" s="9"/>
      <c r="G39" s="9" t="s">
        <v>52</v>
      </c>
      <c r="H39" s="9"/>
      <c r="I39" s="9"/>
      <c r="J39" s="9" t="s">
        <v>52</v>
      </c>
      <c r="K39" s="9"/>
      <c r="L39" s="9"/>
      <c r="M39" s="9" t="s">
        <v>52</v>
      </c>
      <c r="N39" s="9"/>
      <c r="O39" s="9"/>
      <c r="P39" s="17" t="s">
        <v>53</v>
      </c>
      <c r="Q39" s="17" t="s">
        <v>53</v>
      </c>
      <c r="R39" s="17" t="s">
        <v>53</v>
      </c>
      <c r="S39" s="17" t="s">
        <v>53</v>
      </c>
      <c r="T39" s="17" t="s">
        <v>53</v>
      </c>
      <c r="U39" s="20">
        <f t="shared" si="1"/>
        <v>0</v>
      </c>
      <c r="V39" s="17" t="s">
        <v>22</v>
      </c>
      <c r="W39" s="9"/>
      <c r="X39" s="14"/>
      <c r="Y39" s="9" t="s">
        <v>54</v>
      </c>
      <c r="Z39" s="10"/>
    </row>
    <row r="40" spans="1:26" ht="28">
      <c r="A40" s="25" t="s">
        <v>13</v>
      </c>
      <c r="B40" s="9" t="s">
        <v>132</v>
      </c>
      <c r="C40" s="17" t="s">
        <v>50</v>
      </c>
      <c r="D40" s="9" t="s">
        <v>56</v>
      </c>
      <c r="E40" s="9"/>
      <c r="F40" s="9"/>
      <c r="G40" s="9" t="s">
        <v>52</v>
      </c>
      <c r="H40" s="9"/>
      <c r="I40" s="9"/>
      <c r="J40" s="9" t="s">
        <v>52</v>
      </c>
      <c r="K40" s="9"/>
      <c r="L40" s="9"/>
      <c r="M40" s="9" t="s">
        <v>52</v>
      </c>
      <c r="N40" s="9"/>
      <c r="O40" s="9"/>
      <c r="P40" s="17" t="s">
        <v>53</v>
      </c>
      <c r="Q40" s="17" t="s">
        <v>53</v>
      </c>
      <c r="R40" s="17" t="s">
        <v>53</v>
      </c>
      <c r="S40" s="17" t="s">
        <v>53</v>
      </c>
      <c r="T40" s="17" t="s">
        <v>53</v>
      </c>
      <c r="U40" s="20">
        <f t="shared" si="1"/>
        <v>0</v>
      </c>
      <c r="V40" s="17" t="s">
        <v>22</v>
      </c>
      <c r="W40" s="9"/>
      <c r="X40" s="14"/>
      <c r="Y40" s="9" t="s">
        <v>54</v>
      </c>
      <c r="Z40" s="10"/>
    </row>
    <row r="41" spans="1:26" ht="28">
      <c r="A41" s="25" t="s">
        <v>13</v>
      </c>
      <c r="B41" s="9" t="s">
        <v>133</v>
      </c>
      <c r="C41" s="17" t="s">
        <v>50</v>
      </c>
      <c r="D41" s="9" t="s">
        <v>58</v>
      </c>
      <c r="E41" s="9"/>
      <c r="F41" s="9"/>
      <c r="G41" s="9" t="s">
        <v>52</v>
      </c>
      <c r="H41" s="9"/>
      <c r="I41" s="9"/>
      <c r="J41" s="9" t="s">
        <v>52</v>
      </c>
      <c r="K41" s="9"/>
      <c r="L41" s="9"/>
      <c r="M41" s="9" t="s">
        <v>52</v>
      </c>
      <c r="N41" s="9"/>
      <c r="O41" s="9"/>
      <c r="P41" s="17" t="s">
        <v>53</v>
      </c>
      <c r="Q41" s="17" t="s">
        <v>53</v>
      </c>
      <c r="R41" s="17" t="s">
        <v>53</v>
      </c>
      <c r="S41" s="17" t="s">
        <v>53</v>
      </c>
      <c r="T41" s="17" t="s">
        <v>53</v>
      </c>
      <c r="U41" s="20">
        <f t="shared" si="1"/>
        <v>0</v>
      </c>
      <c r="V41" s="17" t="s">
        <v>22</v>
      </c>
      <c r="W41" s="9"/>
      <c r="X41" s="14"/>
      <c r="Y41" s="9" t="s">
        <v>54</v>
      </c>
      <c r="Z41" s="10"/>
    </row>
    <row r="42" spans="1:26" ht="28">
      <c r="A42" s="25" t="s">
        <v>13</v>
      </c>
      <c r="B42" s="9" t="s">
        <v>134</v>
      </c>
      <c r="C42" s="17" t="s">
        <v>60</v>
      </c>
      <c r="D42" s="9" t="s">
        <v>61</v>
      </c>
      <c r="E42" s="9"/>
      <c r="F42" s="9"/>
      <c r="G42" s="9" t="s">
        <v>135</v>
      </c>
      <c r="H42" s="9"/>
      <c r="I42" s="9"/>
      <c r="J42" s="9" t="s">
        <v>136</v>
      </c>
      <c r="K42" s="9"/>
      <c r="L42" s="9"/>
      <c r="M42" s="9" t="s">
        <v>137</v>
      </c>
      <c r="N42" s="9"/>
      <c r="O42" s="9"/>
      <c r="P42" s="17" t="s">
        <v>53</v>
      </c>
      <c r="Q42" s="17" t="s">
        <v>53</v>
      </c>
      <c r="R42" s="17" t="s">
        <v>53</v>
      </c>
      <c r="S42" s="17" t="s">
        <v>53</v>
      </c>
      <c r="T42" s="17" t="s">
        <v>53</v>
      </c>
      <c r="U42" s="20">
        <f t="shared" si="1"/>
        <v>0</v>
      </c>
      <c r="V42" s="17" t="s">
        <v>22</v>
      </c>
      <c r="W42" s="9"/>
      <c r="X42" s="14"/>
      <c r="Y42" s="9" t="s">
        <v>54</v>
      </c>
      <c r="Z42" s="10"/>
    </row>
    <row r="43" spans="1:26" ht="28">
      <c r="A43" s="25" t="s">
        <v>13</v>
      </c>
      <c r="B43" s="9" t="s">
        <v>138</v>
      </c>
      <c r="C43" s="17" t="s">
        <v>50</v>
      </c>
      <c r="D43" s="9" t="s">
        <v>66</v>
      </c>
      <c r="E43" s="9"/>
      <c r="F43" s="9"/>
      <c r="G43" s="9" t="s">
        <v>52</v>
      </c>
      <c r="H43" s="9"/>
      <c r="I43" s="9"/>
      <c r="J43" s="9" t="s">
        <v>52</v>
      </c>
      <c r="K43" s="9"/>
      <c r="L43" s="9"/>
      <c r="M43" s="9" t="s">
        <v>52</v>
      </c>
      <c r="N43" s="9"/>
      <c r="O43" s="9"/>
      <c r="P43" s="17" t="s">
        <v>53</v>
      </c>
      <c r="Q43" s="17" t="s">
        <v>53</v>
      </c>
      <c r="R43" s="17" t="s">
        <v>53</v>
      </c>
      <c r="S43" s="17" t="s">
        <v>53</v>
      </c>
      <c r="T43" s="17" t="s">
        <v>53</v>
      </c>
      <c r="U43" s="20">
        <f t="shared" si="1"/>
        <v>0</v>
      </c>
      <c r="V43" s="17" t="s">
        <v>22</v>
      </c>
      <c r="W43" s="9"/>
      <c r="X43" s="14"/>
      <c r="Y43" s="9" t="s">
        <v>54</v>
      </c>
      <c r="Z43" s="10"/>
    </row>
    <row r="44" spans="1:26" ht="28">
      <c r="A44" s="25" t="s">
        <v>13</v>
      </c>
      <c r="B44" s="9" t="s">
        <v>139</v>
      </c>
      <c r="C44" s="17" t="s">
        <v>50</v>
      </c>
      <c r="D44" s="9" t="s">
        <v>68</v>
      </c>
      <c r="E44" s="9"/>
      <c r="F44" s="9"/>
      <c r="G44" s="9" t="s">
        <v>52</v>
      </c>
      <c r="H44" s="9"/>
      <c r="I44" s="9"/>
      <c r="J44" s="9" t="s">
        <v>52</v>
      </c>
      <c r="K44" s="9"/>
      <c r="L44" s="9"/>
      <c r="M44" s="9" t="s">
        <v>52</v>
      </c>
      <c r="N44" s="9"/>
      <c r="O44" s="9"/>
      <c r="P44" s="17" t="s">
        <v>53</v>
      </c>
      <c r="Q44" s="17" t="s">
        <v>53</v>
      </c>
      <c r="R44" s="17" t="s">
        <v>53</v>
      </c>
      <c r="S44" s="17" t="s">
        <v>53</v>
      </c>
      <c r="T44" s="17" t="s">
        <v>53</v>
      </c>
      <c r="U44" s="20">
        <f t="shared" si="1"/>
        <v>0</v>
      </c>
      <c r="V44" s="17" t="s">
        <v>22</v>
      </c>
      <c r="W44" s="9"/>
      <c r="X44" s="14"/>
      <c r="Y44" s="9" t="s">
        <v>54</v>
      </c>
      <c r="Z44" s="10"/>
    </row>
    <row r="45" spans="1:26" ht="28">
      <c r="A45" s="25" t="s">
        <v>13</v>
      </c>
      <c r="B45" s="9" t="s">
        <v>140</v>
      </c>
      <c r="C45" s="17" t="s">
        <v>60</v>
      </c>
      <c r="D45" s="9" t="s">
        <v>70</v>
      </c>
      <c r="E45" s="9"/>
      <c r="F45" s="9"/>
      <c r="G45" s="9" t="s">
        <v>141</v>
      </c>
      <c r="H45" s="9"/>
      <c r="I45" s="9"/>
      <c r="J45" s="9" t="s">
        <v>142</v>
      </c>
      <c r="K45" s="9"/>
      <c r="L45" s="9"/>
      <c r="M45" s="9" t="s">
        <v>143</v>
      </c>
      <c r="N45" s="9"/>
      <c r="O45" s="9"/>
      <c r="P45" s="17" t="s">
        <v>53</v>
      </c>
      <c r="Q45" s="17" t="s">
        <v>53</v>
      </c>
      <c r="R45" s="17" t="s">
        <v>53</v>
      </c>
      <c r="S45" s="17" t="s">
        <v>53</v>
      </c>
      <c r="T45" s="17" t="s">
        <v>53</v>
      </c>
      <c r="U45" s="20">
        <f t="shared" si="1"/>
        <v>0</v>
      </c>
      <c r="V45" s="17" t="s">
        <v>22</v>
      </c>
      <c r="W45" s="9"/>
      <c r="X45" s="14"/>
      <c r="Y45" s="9" t="s">
        <v>54</v>
      </c>
      <c r="Z45" s="10"/>
    </row>
    <row r="46" spans="1:26" ht="28">
      <c r="A46" s="25" t="s">
        <v>13</v>
      </c>
      <c r="B46" s="9" t="s">
        <v>144</v>
      </c>
      <c r="C46" s="17" t="s">
        <v>60</v>
      </c>
      <c r="D46" s="9" t="s">
        <v>51</v>
      </c>
      <c r="E46" s="9"/>
      <c r="F46" s="9"/>
      <c r="G46" s="9" t="s">
        <v>145</v>
      </c>
      <c r="H46" s="9"/>
      <c r="I46" s="9"/>
      <c r="J46" s="9" t="s">
        <v>146</v>
      </c>
      <c r="K46" s="9"/>
      <c r="L46" s="9"/>
      <c r="M46" s="9" t="s">
        <v>147</v>
      </c>
      <c r="N46" s="9"/>
      <c r="O46" s="9"/>
      <c r="P46" s="17" t="s">
        <v>53</v>
      </c>
      <c r="Q46" s="17" t="s">
        <v>53</v>
      </c>
      <c r="R46" s="17" t="s">
        <v>53</v>
      </c>
      <c r="S46" s="17" t="s">
        <v>53</v>
      </c>
      <c r="T46" s="17" t="s">
        <v>53</v>
      </c>
      <c r="U46" s="20">
        <f t="shared" si="1"/>
        <v>0</v>
      </c>
      <c r="V46" s="17" t="s">
        <v>22</v>
      </c>
      <c r="W46" s="9"/>
      <c r="X46" s="14"/>
      <c r="Y46" s="9" t="s">
        <v>54</v>
      </c>
      <c r="Z46" s="10"/>
    </row>
    <row r="47" spans="1:26" ht="28">
      <c r="A47" s="25" t="s">
        <v>13</v>
      </c>
      <c r="B47" s="9" t="s">
        <v>148</v>
      </c>
      <c r="C47" s="17" t="s">
        <v>50</v>
      </c>
      <c r="D47" s="9" t="s">
        <v>56</v>
      </c>
      <c r="E47" s="9"/>
      <c r="F47" s="9"/>
      <c r="G47" s="9" t="s">
        <v>52</v>
      </c>
      <c r="H47" s="9"/>
      <c r="I47" s="9"/>
      <c r="J47" s="9" t="s">
        <v>52</v>
      </c>
      <c r="K47" s="9"/>
      <c r="L47" s="9"/>
      <c r="M47" s="9" t="s">
        <v>52</v>
      </c>
      <c r="N47" s="9"/>
      <c r="O47" s="9"/>
      <c r="P47" s="17" t="s">
        <v>53</v>
      </c>
      <c r="Q47" s="17" t="s">
        <v>53</v>
      </c>
      <c r="R47" s="17" t="s">
        <v>53</v>
      </c>
      <c r="S47" s="17" t="s">
        <v>53</v>
      </c>
      <c r="T47" s="17" t="s">
        <v>53</v>
      </c>
      <c r="U47" s="20">
        <f t="shared" si="1"/>
        <v>0</v>
      </c>
      <c r="V47" s="17" t="s">
        <v>22</v>
      </c>
      <c r="W47" s="9"/>
      <c r="X47" s="14"/>
      <c r="Y47" s="9" t="s">
        <v>54</v>
      </c>
      <c r="Z47" s="10"/>
    </row>
    <row r="48" spans="1:26" ht="28">
      <c r="A48" s="25" t="s">
        <v>13</v>
      </c>
      <c r="B48" s="9" t="s">
        <v>149</v>
      </c>
      <c r="C48" s="17" t="s">
        <v>50</v>
      </c>
      <c r="D48" s="9" t="s">
        <v>58</v>
      </c>
      <c r="E48" s="9"/>
      <c r="F48" s="9"/>
      <c r="G48" s="9" t="s">
        <v>52</v>
      </c>
      <c r="H48" s="9"/>
      <c r="I48" s="9"/>
      <c r="J48" s="9" t="s">
        <v>52</v>
      </c>
      <c r="K48" s="9"/>
      <c r="L48" s="9"/>
      <c r="M48" s="9" t="s">
        <v>52</v>
      </c>
      <c r="N48" s="9"/>
      <c r="O48" s="9"/>
      <c r="P48" s="17" t="s">
        <v>53</v>
      </c>
      <c r="Q48" s="17" t="s">
        <v>53</v>
      </c>
      <c r="R48" s="17" t="s">
        <v>53</v>
      </c>
      <c r="S48" s="17" t="s">
        <v>53</v>
      </c>
      <c r="T48" s="17" t="s">
        <v>53</v>
      </c>
      <c r="U48" s="20">
        <f t="shared" si="1"/>
        <v>0</v>
      </c>
      <c r="V48" s="17" t="s">
        <v>22</v>
      </c>
      <c r="W48" s="9"/>
      <c r="X48" s="14"/>
      <c r="Y48" s="9" t="s">
        <v>54</v>
      </c>
      <c r="Z48" s="10"/>
    </row>
    <row r="49" spans="1:26" ht="28">
      <c r="A49" s="25" t="s">
        <v>13</v>
      </c>
      <c r="B49" s="9" t="s">
        <v>150</v>
      </c>
      <c r="C49" s="17" t="s">
        <v>50</v>
      </c>
      <c r="D49" s="9" t="s">
        <v>61</v>
      </c>
      <c r="E49" s="9"/>
      <c r="F49" s="9"/>
      <c r="G49" s="9" t="s">
        <v>52</v>
      </c>
      <c r="H49" s="9"/>
      <c r="I49" s="9"/>
      <c r="J49" s="9" t="s">
        <v>52</v>
      </c>
      <c r="K49" s="9"/>
      <c r="L49" s="9"/>
      <c r="M49" s="9" t="s">
        <v>52</v>
      </c>
      <c r="N49" s="9"/>
      <c r="O49" s="9"/>
      <c r="P49" s="17" t="s">
        <v>53</v>
      </c>
      <c r="Q49" s="17" t="s">
        <v>53</v>
      </c>
      <c r="R49" s="17" t="s">
        <v>53</v>
      </c>
      <c r="S49" s="17" t="s">
        <v>53</v>
      </c>
      <c r="T49" s="17" t="s">
        <v>53</v>
      </c>
      <c r="U49" s="20">
        <f t="shared" si="1"/>
        <v>0</v>
      </c>
      <c r="V49" s="17" t="s">
        <v>22</v>
      </c>
      <c r="W49" s="9"/>
      <c r="X49" s="14"/>
      <c r="Y49" s="9" t="s">
        <v>54</v>
      </c>
      <c r="Z49" s="10"/>
    </row>
    <row r="50" spans="1:26" ht="28">
      <c r="A50" s="25" t="s">
        <v>13</v>
      </c>
      <c r="B50" s="9" t="s">
        <v>151</v>
      </c>
      <c r="C50" s="17" t="s">
        <v>60</v>
      </c>
      <c r="D50" s="9" t="s">
        <v>66</v>
      </c>
      <c r="E50" s="9"/>
      <c r="F50" s="9"/>
      <c r="G50" s="9" t="s">
        <v>152</v>
      </c>
      <c r="H50" s="9"/>
      <c r="I50" s="9"/>
      <c r="J50" s="9" t="s">
        <v>153</v>
      </c>
      <c r="K50" s="9"/>
      <c r="L50" s="9"/>
      <c r="M50" s="9" t="s">
        <v>154</v>
      </c>
      <c r="N50" s="9"/>
      <c r="O50" s="9"/>
      <c r="P50" s="17" t="s">
        <v>53</v>
      </c>
      <c r="Q50" s="17" t="s">
        <v>53</v>
      </c>
      <c r="R50" s="17" t="s">
        <v>53</v>
      </c>
      <c r="S50" s="17" t="s">
        <v>53</v>
      </c>
      <c r="T50" s="17" t="s">
        <v>53</v>
      </c>
      <c r="U50" s="20">
        <f t="shared" si="1"/>
        <v>0</v>
      </c>
      <c r="V50" s="17" t="s">
        <v>22</v>
      </c>
      <c r="W50" s="9"/>
      <c r="X50" s="14"/>
      <c r="Y50" s="9" t="s">
        <v>54</v>
      </c>
      <c r="Z50" s="10"/>
    </row>
    <row r="51" spans="1:26" ht="28">
      <c r="A51" s="25" t="s">
        <v>13</v>
      </c>
      <c r="B51" s="9" t="s">
        <v>155</v>
      </c>
      <c r="C51" s="17" t="s">
        <v>50</v>
      </c>
      <c r="D51" s="9" t="s">
        <v>68</v>
      </c>
      <c r="E51" s="9"/>
      <c r="F51" s="9"/>
      <c r="G51" s="9" t="s">
        <v>52</v>
      </c>
      <c r="H51" s="9"/>
      <c r="I51" s="9"/>
      <c r="J51" s="9" t="s">
        <v>52</v>
      </c>
      <c r="K51" s="9"/>
      <c r="L51" s="9"/>
      <c r="M51" s="9" t="s">
        <v>52</v>
      </c>
      <c r="N51" s="9"/>
      <c r="O51" s="9"/>
      <c r="P51" s="17" t="s">
        <v>53</v>
      </c>
      <c r="Q51" s="17" t="s">
        <v>53</v>
      </c>
      <c r="R51" s="17" t="s">
        <v>53</v>
      </c>
      <c r="S51" s="17" t="s">
        <v>53</v>
      </c>
      <c r="T51" s="17" t="s">
        <v>53</v>
      </c>
      <c r="U51" s="20">
        <f t="shared" si="1"/>
        <v>0</v>
      </c>
      <c r="V51" s="17" t="s">
        <v>22</v>
      </c>
      <c r="W51" s="9"/>
      <c r="X51" s="14"/>
      <c r="Y51" s="9" t="s">
        <v>54</v>
      </c>
      <c r="Z51" s="10"/>
    </row>
    <row r="52" spans="1:26" ht="28">
      <c r="A52" s="25" t="s">
        <v>13</v>
      </c>
      <c r="B52" s="9" t="s">
        <v>156</v>
      </c>
      <c r="C52" s="17" t="s">
        <v>60</v>
      </c>
      <c r="D52" s="9" t="s">
        <v>70</v>
      </c>
      <c r="E52" s="9"/>
      <c r="F52" s="9"/>
      <c r="G52" s="9" t="s">
        <v>157</v>
      </c>
      <c r="H52" s="9"/>
      <c r="I52" s="9"/>
      <c r="J52" s="9" t="s">
        <v>158</v>
      </c>
      <c r="K52" s="9"/>
      <c r="L52" s="9"/>
      <c r="M52" s="9" t="s">
        <v>159</v>
      </c>
      <c r="N52" s="9"/>
      <c r="O52" s="9"/>
      <c r="P52" s="17" t="s">
        <v>53</v>
      </c>
      <c r="Q52" s="17" t="s">
        <v>53</v>
      </c>
      <c r="R52" s="17" t="s">
        <v>53</v>
      </c>
      <c r="S52" s="17" t="s">
        <v>53</v>
      </c>
      <c r="T52" s="17" t="s">
        <v>53</v>
      </c>
      <c r="U52" s="20">
        <f t="shared" si="1"/>
        <v>0</v>
      </c>
      <c r="V52" s="17" t="s">
        <v>22</v>
      </c>
      <c r="W52" s="9"/>
      <c r="X52" s="14"/>
      <c r="Y52" s="9" t="s">
        <v>54</v>
      </c>
      <c r="Z52" s="10"/>
    </row>
    <row r="53" spans="1:26" ht="28">
      <c r="A53" s="25" t="s">
        <v>13</v>
      </c>
      <c r="B53" s="9" t="s">
        <v>160</v>
      </c>
      <c r="C53" s="17" t="s">
        <v>50</v>
      </c>
      <c r="D53" s="9" t="s">
        <v>51</v>
      </c>
      <c r="E53" s="9"/>
      <c r="F53" s="9"/>
      <c r="G53" s="9" t="s">
        <v>52</v>
      </c>
      <c r="H53" s="9"/>
      <c r="I53" s="9"/>
      <c r="J53" s="9" t="s">
        <v>52</v>
      </c>
      <c r="K53" s="9"/>
      <c r="L53" s="9"/>
      <c r="M53" s="9" t="s">
        <v>52</v>
      </c>
      <c r="N53" s="9"/>
      <c r="O53" s="9"/>
      <c r="P53" s="17" t="s">
        <v>53</v>
      </c>
      <c r="Q53" s="17" t="s">
        <v>53</v>
      </c>
      <c r="R53" s="17" t="s">
        <v>53</v>
      </c>
      <c r="S53" s="17" t="s">
        <v>53</v>
      </c>
      <c r="T53" s="17" t="s">
        <v>53</v>
      </c>
      <c r="U53" s="20">
        <f t="shared" si="1"/>
        <v>0</v>
      </c>
      <c r="V53" s="17" t="s">
        <v>22</v>
      </c>
      <c r="W53" s="9"/>
      <c r="X53" s="14"/>
      <c r="Y53" s="9" t="s">
        <v>54</v>
      </c>
      <c r="Z53" s="10"/>
    </row>
    <row r="54" spans="1:26" ht="28">
      <c r="A54" s="25" t="s">
        <v>13</v>
      </c>
      <c r="B54" s="9" t="s">
        <v>161</v>
      </c>
      <c r="C54" s="17" t="s">
        <v>60</v>
      </c>
      <c r="D54" s="9" t="s">
        <v>56</v>
      </c>
      <c r="E54" s="9"/>
      <c r="F54" s="9"/>
      <c r="G54" s="9" t="s">
        <v>162</v>
      </c>
      <c r="H54" s="9"/>
      <c r="I54" s="9"/>
      <c r="J54" s="9" t="s">
        <v>163</v>
      </c>
      <c r="K54" s="9"/>
      <c r="L54" s="9"/>
      <c r="M54" s="9" t="s">
        <v>164</v>
      </c>
      <c r="N54" s="9"/>
      <c r="O54" s="9"/>
      <c r="P54" s="17" t="s">
        <v>53</v>
      </c>
      <c r="Q54" s="17" t="s">
        <v>53</v>
      </c>
      <c r="R54" s="17" t="s">
        <v>53</v>
      </c>
      <c r="S54" s="17" t="s">
        <v>53</v>
      </c>
      <c r="T54" s="17" t="s">
        <v>53</v>
      </c>
      <c r="U54" s="20">
        <f t="shared" si="1"/>
        <v>0</v>
      </c>
      <c r="V54" s="17" t="s">
        <v>22</v>
      </c>
      <c r="W54" s="9"/>
      <c r="X54" s="14"/>
      <c r="Y54" s="9" t="s">
        <v>54</v>
      </c>
      <c r="Z54" s="10"/>
    </row>
    <row r="55" spans="1:26" ht="28">
      <c r="A55" s="26" t="s">
        <v>13</v>
      </c>
      <c r="B55" s="11" t="s">
        <v>165</v>
      </c>
      <c r="C55" s="18" t="s">
        <v>50</v>
      </c>
      <c r="D55" s="11" t="s">
        <v>58</v>
      </c>
      <c r="E55" s="11"/>
      <c r="F55" s="11"/>
      <c r="G55" s="11" t="s">
        <v>52</v>
      </c>
      <c r="H55" s="11"/>
      <c r="I55" s="11"/>
      <c r="J55" s="11" t="s">
        <v>52</v>
      </c>
      <c r="K55" s="11"/>
      <c r="L55" s="11"/>
      <c r="M55" s="11" t="s">
        <v>52</v>
      </c>
      <c r="N55" s="11"/>
      <c r="O55" s="11"/>
      <c r="P55" s="18" t="s">
        <v>53</v>
      </c>
      <c r="Q55" s="18" t="s">
        <v>53</v>
      </c>
      <c r="R55" s="18" t="s">
        <v>53</v>
      </c>
      <c r="S55" s="18" t="s">
        <v>53</v>
      </c>
      <c r="T55" s="18" t="s">
        <v>53</v>
      </c>
      <c r="U55" s="21">
        <f t="shared" si="1"/>
        <v>0</v>
      </c>
      <c r="V55" s="18" t="s">
        <v>22</v>
      </c>
      <c r="W55" s="11"/>
      <c r="X55" s="15"/>
      <c r="Y55" s="11" t="s">
        <v>54</v>
      </c>
      <c r="Z55" s="12"/>
    </row>
  </sheetData>
  <mergeCells count="1">
    <mergeCell ref="A1:Z1"/>
  </mergeCells>
  <conditionalFormatting sqref="C5:C55">
    <cfRule type="containsText" dxfId="5" priority="1" operator="containsText" text="MRC"/>
  </conditionalFormatting>
  <conditionalFormatting sqref="U5:U55">
    <cfRule type="dataBar" priority="6">
      <dataBar>
        <cfvo type="min"/>
        <cfvo type="max"/>
        <color rgb="FF2A9D8F"/>
      </dataBar>
    </cfRule>
    <cfRule type="dataBar" priority="8">
      <dataBar>
        <cfvo type="min"/>
        <cfvo type="max"/>
        <color rgb="FF2A9D8F"/>
      </dataBar>
      <extLst>
        <ext xmlns:x14="http://schemas.microsoft.com/office/spreadsheetml/2009/9/main" uri="{B025F937-C7B1-47D3-B67F-A62EFF666E3E}">
          <x14:id>{EA289969-FF21-3693-0E7A-2ECDCFAE2785}</x14:id>
        </ext>
      </extLst>
    </cfRule>
  </conditionalFormatting>
  <conditionalFormatting sqref="V5:V55">
    <cfRule type="containsText" dxfId="4" priority="2" operator="containsText" text="Completed"/>
    <cfRule type="containsText" dxfId="3" priority="3" operator="containsText" text="Blocked"/>
    <cfRule type="containsText" dxfId="2" priority="4" operator="containsText" text="Validation"/>
    <cfRule type="containsText" dxfId="1" priority="5" operator="containsText" text="Not Started"/>
  </conditionalFormatting>
  <conditionalFormatting sqref="Y5:Y55">
    <cfRule type="containsText" dxfId="0" priority="7" operator="containsText" text="Confirm"/>
  </conditionalFormatting>
  <dataValidations count="5">
    <dataValidation type="list" sqref="A5:A55" xr:uid="{00000000-0002-0000-0100-000000000000}">
      <formula1>"PROD,PT,UAT"</formula1>
    </dataValidation>
    <dataValidation type="list" sqref="C5:C55" xr:uid="{00000000-0002-0000-0100-000001000000}">
      <formula1>"Normal,MRC"</formula1>
    </dataValidation>
    <dataValidation type="list" allowBlank="1" sqref="D5:D55" xr:uid="{00000000-0002-0000-0100-000002000000}">
      <formula1>"Kafka Bootstrap,Kafka Broker,Schema Registry,Kafka Connect,KSQL,MirrorMaker,Admin/API"</formula1>
    </dataValidation>
    <dataValidation type="list" sqref="P5:T55" xr:uid="{00000000-0002-0000-0100-000003000000}">
      <formula1>"No,Yes,N/A"</formula1>
    </dataValidation>
    <dataValidation type="list" sqref="V5:V55" xr:uid="{00000000-0002-0000-0100-000004000000}">
      <formula1>"Not Started,Planned,IP Reserved,DNS Created,LB Configured,Validation,Completed,Blocked"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289969-FF21-3693-0E7A-2ECDCFAE2785}">
            <x14:dataBar>
              <x14:cfvo type="min"/>
              <x14:cfvo type="max"/>
              <x14:negativeFillColor auto="1"/>
              <x14:axisColor auto="1"/>
            </x14:dataBar>
          </x14:cfRule>
          <xm:sqref>U5:U55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workbookViewId="0"/>
  </sheetViews>
  <sheetFormatPr baseColWidth="10" defaultColWidth="8.83203125" defaultRowHeight="14"/>
  <cols>
    <col min="1" max="5" width="23.5" customWidth="1"/>
  </cols>
  <sheetData>
    <row r="1" spans="1:5" ht="15">
      <c r="A1" s="1" t="s">
        <v>16</v>
      </c>
      <c r="B1" s="1" t="s">
        <v>30</v>
      </c>
      <c r="C1" s="1" t="s">
        <v>31</v>
      </c>
      <c r="D1" s="1" t="s">
        <v>166</v>
      </c>
      <c r="E1" s="1" t="s">
        <v>3</v>
      </c>
    </row>
    <row r="2" spans="1:5">
      <c r="A2" t="s">
        <v>22</v>
      </c>
      <c r="B2" t="s">
        <v>50</v>
      </c>
      <c r="C2" t="s">
        <v>51</v>
      </c>
      <c r="D2" t="s">
        <v>53</v>
      </c>
      <c r="E2" t="s">
        <v>10</v>
      </c>
    </row>
    <row r="3" spans="1:5">
      <c r="A3" t="s">
        <v>23</v>
      </c>
      <c r="B3" t="s">
        <v>60</v>
      </c>
      <c r="C3" t="s">
        <v>56</v>
      </c>
      <c r="D3" t="s">
        <v>167</v>
      </c>
      <c r="E3" t="s">
        <v>11</v>
      </c>
    </row>
    <row r="4" spans="1:5">
      <c r="A4" t="s">
        <v>24</v>
      </c>
      <c r="C4" t="s">
        <v>58</v>
      </c>
      <c r="D4" t="s">
        <v>52</v>
      </c>
      <c r="E4" t="s">
        <v>13</v>
      </c>
    </row>
    <row r="5" spans="1:5">
      <c r="A5" t="s">
        <v>25</v>
      </c>
      <c r="C5" t="s">
        <v>61</v>
      </c>
    </row>
    <row r="6" spans="1:5">
      <c r="A6" t="s">
        <v>26</v>
      </c>
      <c r="C6" t="s">
        <v>66</v>
      </c>
    </row>
    <row r="7" spans="1:5">
      <c r="A7" t="s">
        <v>27</v>
      </c>
      <c r="C7" t="s">
        <v>68</v>
      </c>
    </row>
    <row r="8" spans="1:5">
      <c r="A8" t="s">
        <v>5</v>
      </c>
      <c r="C8" t="s">
        <v>70</v>
      </c>
    </row>
    <row r="9" spans="1:5">
      <c r="A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Cluster Tracker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BB Flowers</cp:lastModifiedBy>
  <dcterms:created xsi:type="dcterms:W3CDTF">2026-04-24T16:01:01Z</dcterms:created>
  <dcterms:modified xsi:type="dcterms:W3CDTF">2026-04-24T16:01:01Z</dcterms:modified>
</cp:coreProperties>
</file>